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0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ethuraman-t\Downloads\auto\"/>
    </mc:Choice>
  </mc:AlternateContent>
  <xr:revisionPtr revIDLastSave="0" documentId="13_ncr:1_{1213C346-3D84-4516-A4BE-D7FFEBAF30D6}" xr6:coauthVersionLast="47" xr6:coauthVersionMax="47" xr10:uidLastSave="{00000000-0000-0000-0000-000000000000}"/>
  <bookViews>
    <workbookView xWindow="-110" yWindow="-110" windowWidth="19420" windowHeight="10420" firstSheet="4" activeTab="7" xr2:uid="{2F49239F-A664-4EE9-B347-25BECC45650C}"/>
  </bookViews>
  <sheets>
    <sheet name="Home" sheetId="13" r:id="rId1"/>
    <sheet name="data" sheetId="6" r:id="rId2"/>
    <sheet name="Positing by Function" sheetId="12" r:id="rId3"/>
    <sheet name="Gender vs pay" sheetId="10" r:id="rId4"/>
    <sheet name="Internal Pay" sheetId="11" r:id="rId5"/>
    <sheet name="Lvl Wise table" sheetId="9" r:id="rId6"/>
    <sheet name="Specialization Wise analysis" sheetId="1" r:id="rId7"/>
    <sheet name="Supply Chain Planning " sheetId="2" r:id="rId8"/>
    <sheet name="Data Science - Data &amp; Analytics" sheetId="3" r:id="rId9"/>
    <sheet name="(BI) Data analysis" sheetId="4" r:id="rId10"/>
    <sheet name="Accounts Payable Receivable " sheetId="5" r:id="rId11"/>
    <sheet name="Workforce Distribution (22)" sheetId="7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6" i="9" l="1"/>
  <c r="O7" i="9"/>
  <c r="O8" i="9"/>
  <c r="O9" i="9"/>
  <c r="O10" i="9"/>
  <c r="O11" i="9"/>
  <c r="O12" i="9"/>
  <c r="H15" i="12"/>
  <c r="H3" i="12"/>
  <c r="H4" i="12"/>
  <c r="H5" i="12"/>
  <c r="H6" i="12"/>
  <c r="H7" i="12"/>
  <c r="H8" i="12"/>
  <c r="H9" i="12"/>
  <c r="H10" i="12"/>
  <c r="H11" i="12"/>
  <c r="H12" i="12"/>
  <c r="H13" i="12"/>
  <c r="H14" i="12"/>
  <c r="H2" i="12"/>
  <c r="K5" i="12" a="1"/>
  <c r="K5" i="12" s="1"/>
  <c r="K3" i="12" a="1"/>
  <c r="K3" i="12" s="1"/>
  <c r="K4" i="12" a="1"/>
  <c r="K4" i="12" s="1"/>
  <c r="K6" i="12" a="1"/>
  <c r="K6" i="12" s="1"/>
  <c r="K7" i="12" a="1"/>
  <c r="K7" i="12" s="1"/>
  <c r="K8" i="12" a="1"/>
  <c r="K8" i="12" s="1"/>
  <c r="K9" i="12" a="1"/>
  <c r="K9" i="12" s="1"/>
  <c r="K10" i="12" a="1"/>
  <c r="K10" i="12" s="1"/>
  <c r="K11" i="12" a="1"/>
  <c r="K11" i="12" s="1"/>
  <c r="K12" i="12" a="1"/>
  <c r="K12" i="12" s="1"/>
  <c r="K13" i="12" a="1"/>
  <c r="K13" i="12" s="1"/>
  <c r="K14" i="12" a="1"/>
  <c r="K14" i="12" s="1"/>
  <c r="K15" i="12" a="1"/>
  <c r="K15" i="12" s="1"/>
  <c r="K2" i="12" a="1"/>
  <c r="K2" i="12" s="1"/>
  <c r="J2" i="12" a="1"/>
  <c r="J2" i="12" s="1"/>
  <c r="J3" i="12" a="1"/>
  <c r="J3" i="12" s="1"/>
  <c r="J4" i="12" a="1"/>
  <c r="J4" i="12" s="1"/>
  <c r="J5" i="12" a="1"/>
  <c r="J5" i="12" s="1"/>
  <c r="J6" i="12" a="1"/>
  <c r="J6" i="12" s="1"/>
  <c r="J7" i="12" a="1"/>
  <c r="J7" i="12" s="1"/>
  <c r="J8" i="12" a="1"/>
  <c r="J8" i="12" s="1"/>
  <c r="J9" i="12" a="1"/>
  <c r="J9" i="12" s="1"/>
  <c r="J10" i="12" a="1"/>
  <c r="J10" i="12" s="1"/>
  <c r="J11" i="12" a="1"/>
  <c r="J11" i="12" s="1"/>
  <c r="J12" i="12" a="1"/>
  <c r="J12" i="12" s="1"/>
  <c r="J13" i="12" a="1"/>
  <c r="J13" i="12" s="1"/>
  <c r="J14" i="12" a="1"/>
  <c r="J14" i="12" s="1"/>
  <c r="J15" i="12" a="1"/>
  <c r="J15" i="12" s="1"/>
  <c r="C10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2" i="12"/>
  <c r="E15" i="12"/>
  <c r="E14" i="12"/>
  <c r="E13" i="12"/>
  <c r="E12" i="12"/>
  <c r="E11" i="12"/>
  <c r="E10" i="12"/>
  <c r="E9" i="12"/>
  <c r="E8" i="12"/>
  <c r="E7" i="12"/>
  <c r="E6" i="12"/>
  <c r="E5" i="12"/>
  <c r="E4" i="12"/>
  <c r="E3" i="12"/>
  <c r="D15" i="12"/>
  <c r="D14" i="12"/>
  <c r="D13" i="12"/>
  <c r="D12" i="12"/>
  <c r="D11" i="12"/>
  <c r="D10" i="12"/>
  <c r="D9" i="12"/>
  <c r="D8" i="12"/>
  <c r="D7" i="12"/>
  <c r="D6" i="12"/>
  <c r="D5" i="12"/>
  <c r="D4" i="12"/>
  <c r="D3" i="12"/>
  <c r="D2" i="12"/>
  <c r="E2" i="12"/>
  <c r="C13" i="12"/>
  <c r="C14" i="12"/>
  <c r="C15" i="12"/>
  <c r="C8" i="12"/>
  <c r="C7" i="12"/>
  <c r="C6" i="12"/>
  <c r="C5" i="12"/>
  <c r="C4" i="12"/>
  <c r="C3" i="12"/>
  <c r="C2" i="12"/>
  <c r="C2" i="9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B2" i="11" a="1"/>
  <c r="B2" i="11" s="1"/>
  <c r="A2" i="12" a="1"/>
  <c r="A2" i="12" s="1"/>
  <c r="Z116" i="6" a="1"/>
  <c r="Z116" i="6" s="1"/>
  <c r="O116" i="6"/>
  <c r="Z115" i="6" a="1"/>
  <c r="Z115" i="6" s="1"/>
  <c r="O115" i="6"/>
  <c r="Z114" i="6" a="1"/>
  <c r="Z114" i="6" s="1"/>
  <c r="O114" i="6"/>
  <c r="Z113" i="6" a="1"/>
  <c r="Z113" i="6" s="1"/>
  <c r="O113" i="6"/>
  <c r="Z112" i="6"/>
  <c r="Z112" i="6" a="1"/>
  <c r="O112" i="6"/>
  <c r="Z111" i="6"/>
  <c r="Z111" i="6" a="1"/>
  <c r="O111" i="6"/>
  <c r="Z110" i="6"/>
  <c r="Z110" i="6" a="1"/>
  <c r="O110" i="6"/>
  <c r="Z109" i="6" a="1"/>
  <c r="Z109" i="6" s="1"/>
  <c r="O109" i="6"/>
  <c r="Z108" i="6" a="1"/>
  <c r="Z108" i="6" s="1"/>
  <c r="O108" i="6"/>
  <c r="Z107" i="6"/>
  <c r="Z107" i="6" a="1"/>
  <c r="O107" i="6"/>
  <c r="Z106" i="6"/>
  <c r="Z106" i="6" a="1"/>
  <c r="O106" i="6"/>
  <c r="Z105" i="6" a="1"/>
  <c r="Z105" i="6" s="1"/>
  <c r="O105" i="6"/>
  <c r="Z104" i="6"/>
  <c r="Z104" i="6" a="1"/>
  <c r="O104" i="6"/>
  <c r="Z103" i="6"/>
  <c r="Z103" i="6" a="1"/>
  <c r="O103" i="6"/>
  <c r="Z102" i="6"/>
  <c r="Z102" i="6" a="1"/>
  <c r="O102" i="6"/>
  <c r="Z101" i="6" a="1"/>
  <c r="Z101" i="6" s="1"/>
  <c r="O101" i="6"/>
  <c r="Z100" i="6" a="1"/>
  <c r="Z100" i="6" s="1"/>
  <c r="O100" i="6"/>
  <c r="Z99" i="6"/>
  <c r="Z99" i="6" a="1"/>
  <c r="O99" i="6"/>
  <c r="Z98" i="6"/>
  <c r="Z98" i="6" a="1"/>
  <c r="O98" i="6"/>
  <c r="Z97" i="6" a="1"/>
  <c r="Z97" i="6" s="1"/>
  <c r="O97" i="6"/>
  <c r="Z96" i="6" a="1"/>
  <c r="Z96" i="6" s="1"/>
  <c r="O96" i="6"/>
  <c r="Z95" i="6"/>
  <c r="Z95" i="6" a="1"/>
  <c r="O95" i="6"/>
  <c r="Z94" i="6"/>
  <c r="Z94" i="6" a="1"/>
  <c r="O94" i="6"/>
  <c r="Z93" i="6" a="1"/>
  <c r="Z93" i="6" s="1"/>
  <c r="O93" i="6"/>
  <c r="Z92" i="6" a="1"/>
  <c r="Z92" i="6" s="1"/>
  <c r="O92" i="6"/>
  <c r="Z91" i="6"/>
  <c r="Z91" i="6" a="1"/>
  <c r="O91" i="6"/>
  <c r="Z90" i="6"/>
  <c r="Z90" i="6" a="1"/>
  <c r="O90" i="6"/>
  <c r="Z89" i="6" a="1"/>
  <c r="Z89" i="6" s="1"/>
  <c r="O89" i="6"/>
  <c r="Z88" i="6"/>
  <c r="Z88" i="6" a="1"/>
  <c r="O88" i="6"/>
  <c r="Z87" i="6"/>
  <c r="Z87" i="6" a="1"/>
  <c r="O87" i="6"/>
  <c r="Z86" i="6"/>
  <c r="Z86" i="6" a="1"/>
  <c r="O86" i="6"/>
  <c r="Z85" i="6" a="1"/>
  <c r="Z85" i="6" s="1"/>
  <c r="O85" i="6"/>
  <c r="Z84" i="6" a="1"/>
  <c r="Z84" i="6" s="1"/>
  <c r="O84" i="6"/>
  <c r="Z83" i="6"/>
  <c r="Z83" i="6" a="1"/>
  <c r="O83" i="6"/>
  <c r="Z82" i="6"/>
  <c r="Z82" i="6" a="1"/>
  <c r="O82" i="6"/>
  <c r="Z81" i="6" a="1"/>
  <c r="Z81" i="6" s="1"/>
  <c r="O81" i="6"/>
  <c r="Z80" i="6"/>
  <c r="Z80" i="6" a="1"/>
  <c r="O80" i="6"/>
  <c r="O79" i="6"/>
  <c r="Z78" i="6" a="1"/>
  <c r="Z78" i="6" s="1"/>
  <c r="O78" i="6"/>
  <c r="Z77" i="6"/>
  <c r="Z77" i="6" a="1"/>
  <c r="O77" i="6"/>
  <c r="Z76" i="6"/>
  <c r="Z76" i="6" a="1"/>
  <c r="O76" i="6"/>
  <c r="Z75" i="6" a="1"/>
  <c r="Z75" i="6" s="1"/>
  <c r="O75" i="6"/>
  <c r="O74" i="6"/>
  <c r="O73" i="6"/>
  <c r="O72" i="6"/>
  <c r="O71" i="6"/>
  <c r="O70" i="6"/>
  <c r="O69" i="6"/>
  <c r="Z68" i="6"/>
  <c r="Z68" i="6" a="1"/>
  <c r="O68" i="6"/>
  <c r="Z67" i="6" a="1"/>
  <c r="Z67" i="6" s="1"/>
  <c r="O67" i="6"/>
  <c r="O66" i="6"/>
  <c r="Z65" i="6" a="1"/>
  <c r="Z65" i="6" s="1"/>
  <c r="O65" i="6"/>
  <c r="Z64" i="6"/>
  <c r="Z64" i="6" a="1"/>
  <c r="O64" i="6"/>
  <c r="O63" i="6"/>
  <c r="Z62" i="6" a="1"/>
  <c r="Z62" i="6" s="1"/>
  <c r="O62" i="6"/>
  <c r="Z61" i="6"/>
  <c r="Z61" i="6" a="1"/>
  <c r="O61" i="6"/>
  <c r="Z60" i="6"/>
  <c r="Z60" i="6" a="1"/>
  <c r="O60" i="6"/>
  <c r="Z59" i="6" a="1"/>
  <c r="Z59" i="6" s="1"/>
  <c r="O59" i="6"/>
  <c r="Z58" i="6"/>
  <c r="Z58" i="6" a="1"/>
  <c r="O58" i="6"/>
  <c r="Z57" i="6"/>
  <c r="Z57" i="6" a="1"/>
  <c r="O57" i="6"/>
  <c r="O56" i="6"/>
  <c r="O55" i="6"/>
  <c r="O54" i="6"/>
  <c r="Z53" i="6" a="1"/>
  <c r="Z53" i="6" s="1"/>
  <c r="O53" i="6"/>
  <c r="O52" i="6"/>
  <c r="Z51" i="6" a="1"/>
  <c r="Z51" i="6" s="1"/>
  <c r="O51" i="6"/>
  <c r="O50" i="6"/>
  <c r="O49" i="6"/>
  <c r="O48" i="6"/>
  <c r="O47" i="6"/>
  <c r="Z46" i="6" a="1"/>
  <c r="Z46" i="6" s="1"/>
  <c r="O46" i="6"/>
  <c r="O45" i="6"/>
  <c r="O44" i="6"/>
  <c r="O43" i="6"/>
  <c r="O42" i="6"/>
  <c r="O41" i="6"/>
  <c r="O40" i="6"/>
  <c r="O39" i="6"/>
  <c r="O38" i="6"/>
  <c r="O37" i="6"/>
  <c r="O36" i="6"/>
  <c r="O35" i="6"/>
  <c r="Z34" i="6"/>
  <c r="Z34" i="6" a="1"/>
  <c r="O34" i="6"/>
  <c r="O33" i="6"/>
  <c r="Z32" i="6"/>
  <c r="Z32" i="6" a="1"/>
  <c r="O32" i="6"/>
  <c r="Z31" i="6" a="1"/>
  <c r="Z31" i="6" s="1"/>
  <c r="O31" i="6"/>
  <c r="O30" i="6"/>
  <c r="O29" i="6"/>
  <c r="O28" i="6"/>
  <c r="O27" i="6"/>
  <c r="Z26" i="6"/>
  <c r="Z26" i="6" a="1"/>
  <c r="O26" i="6"/>
  <c r="O25" i="6"/>
  <c r="O24" i="6"/>
  <c r="O23" i="6"/>
  <c r="Z22" i="6"/>
  <c r="Z22" i="6" a="1"/>
  <c r="O22" i="6"/>
  <c r="Z21" i="6" a="1"/>
  <c r="Z21" i="6" s="1"/>
  <c r="O21" i="6"/>
  <c r="Z20" i="6" a="1"/>
  <c r="Z20" i="6" s="1"/>
  <c r="O20" i="6"/>
  <c r="Z19" i="6"/>
  <c r="Z19" i="6" a="1"/>
  <c r="O19" i="6"/>
  <c r="Z18" i="6"/>
  <c r="Z18" i="6" a="1"/>
  <c r="O18" i="6"/>
  <c r="Z17" i="6" a="1"/>
  <c r="Z17" i="6" s="1"/>
  <c r="O17" i="6"/>
  <c r="Z16" i="6"/>
  <c r="Z16" i="6" a="1"/>
  <c r="O16" i="6"/>
  <c r="Z15" i="6"/>
  <c r="Z15" i="6" a="1"/>
  <c r="O15" i="6"/>
  <c r="Z14" i="6"/>
  <c r="Z14" i="6" a="1"/>
  <c r="O14" i="6"/>
  <c r="Z13" i="6" a="1"/>
  <c r="Z13" i="6" s="1"/>
  <c r="O13" i="6"/>
  <c r="Z12" i="6" a="1"/>
  <c r="Z12" i="6" s="1"/>
  <c r="O12" i="6"/>
  <c r="Z11" i="6"/>
  <c r="Z11" i="6" a="1"/>
  <c r="O11" i="6"/>
  <c r="O10" i="6"/>
  <c r="Z9" i="6"/>
  <c r="Z9" i="6" a="1"/>
  <c r="O9" i="6"/>
  <c r="O8" i="6"/>
  <c r="Z7" i="6"/>
  <c r="Z7" i="6" a="1"/>
  <c r="O7" i="6"/>
  <c r="Z6" i="6" a="1"/>
  <c r="Z6" i="6" s="1"/>
  <c r="O6" i="6"/>
  <c r="Z5" i="6" a="1"/>
  <c r="Z5" i="6" s="1"/>
  <c r="O5" i="6"/>
  <c r="O4" i="6"/>
  <c r="O3" i="6"/>
  <c r="Z2" i="6" a="1"/>
  <c r="Z2" i="6" s="1"/>
  <c r="O2" i="6"/>
  <c r="C9" i="12" l="1"/>
  <c r="C11" i="12" s="1"/>
  <c r="C12" i="12" s="1"/>
  <c r="A2" i="11" a="1"/>
  <c r="B2" i="2" a="1"/>
  <c r="B2" i="2" s="1"/>
  <c r="A2" i="11" l="1"/>
  <c r="I6" i="11" a="1"/>
  <c r="I6" i="11" s="1"/>
  <c r="H6" i="11" a="1"/>
  <c r="H6" i="11" s="1"/>
  <c r="G6" i="11" a="1"/>
  <c r="G6" i="11" s="1"/>
  <c r="F5" i="11" a="1"/>
  <c r="F5" i="11" s="1"/>
  <c r="I5" i="11" a="1"/>
  <c r="I5" i="11" s="1"/>
  <c r="I4" i="11" a="1"/>
  <c r="I4" i="11" s="1"/>
  <c r="H4" i="11" a="1"/>
  <c r="H4" i="11" s="1"/>
  <c r="G4" i="11" a="1"/>
  <c r="G4" i="11" s="1"/>
  <c r="F3" i="11" a="1"/>
  <c r="F3" i="11" s="1"/>
  <c r="H3" i="11" a="1"/>
  <c r="H3" i="11" s="1"/>
  <c r="G3" i="11" a="1"/>
  <c r="G3" i="11" s="1"/>
  <c r="E8" i="11" a="1"/>
  <c r="E8" i="11" s="1"/>
  <c r="F8" i="11" a="1"/>
  <c r="F8" i="11" s="1"/>
  <c r="F7" i="11" a="1"/>
  <c r="F7" i="11" s="1"/>
  <c r="E5" i="11" a="1"/>
  <c r="E5" i="11" s="1"/>
  <c r="H7" i="11" a="1"/>
  <c r="H7" i="11" s="1"/>
  <c r="F6" i="11" a="1"/>
  <c r="F6" i="11" s="1"/>
  <c r="E3" i="11" a="1"/>
  <c r="E3" i="11" s="1"/>
  <c r="G5" i="11" a="1"/>
  <c r="G5" i="11" s="1"/>
  <c r="I3" i="11" a="1"/>
  <c r="I3" i="11" s="1"/>
  <c r="E7" i="11" a="1"/>
  <c r="E7" i="11" s="1"/>
  <c r="E6" i="11" a="1"/>
  <c r="E6" i="11" s="1"/>
  <c r="G8" i="11" a="1"/>
  <c r="G8" i="11" s="1"/>
  <c r="I7" i="11" a="1"/>
  <c r="I7" i="11" s="1"/>
  <c r="G7" i="11" a="1"/>
  <c r="G7" i="11" s="1"/>
  <c r="E4" i="11" a="1"/>
  <c r="E4" i="11" s="1"/>
  <c r="H5" i="11" a="1"/>
  <c r="H5" i="11" s="1"/>
  <c r="F4" i="11" a="1"/>
  <c r="F4" i="11" s="1"/>
  <c r="I8" i="11" a="1"/>
  <c r="I8" i="11" s="1"/>
  <c r="H8" i="11" a="1"/>
  <c r="H8" i="11" s="1"/>
  <c r="D4" i="11" a="1"/>
  <c r="D4" i="11" s="1"/>
  <c r="C9" i="11" a="1"/>
  <c r="C9" i="11" s="1"/>
  <c r="D8" i="11" a="1"/>
  <c r="D8" i="11" s="1"/>
  <c r="C7" i="11" a="1"/>
  <c r="C7" i="11" s="1"/>
  <c r="D7" i="11" a="1"/>
  <c r="D7" i="11" s="1"/>
  <c r="D6" i="11" a="1"/>
  <c r="D6" i="11" s="1"/>
  <c r="C5" i="11" a="1"/>
  <c r="C5" i="11" s="1"/>
  <c r="B9" i="11" a="1"/>
  <c r="B9" i="11" s="1"/>
  <c r="C6" i="11" a="1"/>
  <c r="C6" i="11" s="1"/>
  <c r="D5" i="11" a="1"/>
  <c r="D5" i="11" s="1"/>
  <c r="C4" i="11" a="1"/>
  <c r="C4" i="11" s="1"/>
  <c r="C8" i="11" a="1"/>
  <c r="C8" i="11" s="1"/>
  <c r="C3" i="11" a="1"/>
  <c r="C3" i="11" s="1"/>
  <c r="D3" i="11" a="1"/>
  <c r="D3" i="11" s="1"/>
  <c r="C14" i="10" a="1"/>
  <c r="C14" i="10" s="1"/>
  <c r="C13" i="10" a="1"/>
  <c r="C13" i="10" s="1"/>
  <c r="C12" i="10" a="1"/>
  <c r="C12" i="10" s="1"/>
  <c r="B14" i="10" a="1"/>
  <c r="B14" i="10" s="1"/>
  <c r="B13" i="10" a="1"/>
  <c r="B13" i="10" s="1"/>
  <c r="B12" i="10" a="1"/>
  <c r="B12" i="10" s="1"/>
  <c r="C2" i="2" a="1"/>
  <c r="C2" i="2" s="1"/>
  <c r="C7" i="10"/>
  <c r="B8" i="10"/>
  <c r="C8" i="10"/>
  <c r="B7" i="10"/>
  <c r="C6" i="10"/>
  <c r="B6" i="10"/>
  <c r="B3" i="10"/>
  <c r="B2" i="10"/>
  <c r="A2" i="9" a="1"/>
  <c r="K4" i="11" l="1"/>
  <c r="K8" i="11"/>
  <c r="J4" i="11"/>
  <c r="J8" i="11"/>
  <c r="J5" i="11"/>
  <c r="J3" i="11"/>
  <c r="K5" i="11"/>
  <c r="K3" i="11"/>
  <c r="K6" i="11"/>
  <c r="J6" i="11"/>
  <c r="J7" i="11"/>
  <c r="K7" i="11"/>
  <c r="F2" i="11" a="1"/>
  <c r="F2" i="11" s="1"/>
  <c r="E2" i="11" a="1"/>
  <c r="E2" i="11" s="1"/>
  <c r="I2" i="11" a="1"/>
  <c r="I2" i="11" s="1"/>
  <c r="H2" i="11" a="1"/>
  <c r="H2" i="11" s="1"/>
  <c r="C2" i="11" a="1"/>
  <c r="C2" i="11" s="1"/>
  <c r="G2" i="11" a="1"/>
  <c r="G2" i="11" s="1"/>
  <c r="D2" i="11" a="1"/>
  <c r="D2" i="11" s="1"/>
  <c r="A2" i="9"/>
  <c r="J6" i="9" a="1"/>
  <c r="J6" i="9" s="1"/>
  <c r="K5" i="9" a="1"/>
  <c r="K5" i="9" s="1"/>
  <c r="J7" i="9" a="1"/>
  <c r="J7" i="9" s="1"/>
  <c r="K6" i="9" a="1"/>
  <c r="K6" i="9" s="1"/>
  <c r="J8" i="9" a="1"/>
  <c r="J8" i="9" s="1"/>
  <c r="K7" i="9" a="1"/>
  <c r="K7" i="9" s="1"/>
  <c r="J5" i="9" a="1"/>
  <c r="J5" i="9" s="1"/>
  <c r="J3" i="9" a="1"/>
  <c r="J3" i="9" s="1"/>
  <c r="K8" i="9" a="1"/>
  <c r="K8" i="9" s="1"/>
  <c r="K3" i="9" a="1"/>
  <c r="K3" i="9" s="1"/>
  <c r="J4" i="9" a="1"/>
  <c r="J4" i="9" s="1"/>
  <c r="K4" i="9" a="1"/>
  <c r="K4" i="9" s="1"/>
  <c r="B5" i="11" a="1"/>
  <c r="B5" i="11" s="1"/>
  <c r="B8" i="11" a="1"/>
  <c r="B8" i="11" s="1"/>
  <c r="B7" i="11" a="1"/>
  <c r="B7" i="11" s="1"/>
  <c r="B6" i="11" a="1"/>
  <c r="B6" i="11" s="1"/>
  <c r="B3" i="11" a="1"/>
  <c r="B3" i="11" s="1"/>
  <c r="B4" i="11" a="1"/>
  <c r="B4" i="11" s="1"/>
  <c r="B8" i="9" a="1"/>
  <c r="B8" i="9" s="1"/>
  <c r="F8" i="9" s="1"/>
  <c r="C2" i="3" a="1"/>
  <c r="C2" i="3" s="1"/>
  <c r="E3" i="5" a="1"/>
  <c r="E3" i="5" s="1"/>
  <c r="D3" i="5" a="1"/>
  <c r="D3" i="5" s="1"/>
  <c r="C3" i="5" a="1"/>
  <c r="C3" i="5" s="1"/>
  <c r="B3" i="5" a="1"/>
  <c r="B3" i="5" s="1"/>
  <c r="E2" i="5" a="1"/>
  <c r="E2" i="5" s="1"/>
  <c r="D2" i="5" a="1"/>
  <c r="D2" i="5" s="1"/>
  <c r="C2" i="5" a="1"/>
  <c r="C2" i="5" s="1"/>
  <c r="B2" i="5" a="1"/>
  <c r="B2" i="5" s="1"/>
  <c r="D6" i="4" a="1"/>
  <c r="D6" i="4" s="1"/>
  <c r="D5" i="4" a="1"/>
  <c r="D5" i="4" s="1"/>
  <c r="C6" i="4" a="1"/>
  <c r="C6" i="4" s="1"/>
  <c r="C5" i="4" a="1"/>
  <c r="C5" i="4" s="1"/>
  <c r="B6" i="4" a="1"/>
  <c r="B6" i="4" s="1"/>
  <c r="B5" i="4" a="1"/>
  <c r="B5" i="4" s="1"/>
  <c r="D4" i="4" a="1"/>
  <c r="D4" i="4" s="1"/>
  <c r="C4" i="4" a="1"/>
  <c r="C4" i="4" s="1"/>
  <c r="B4" i="4" a="1"/>
  <c r="B4" i="4" s="1"/>
  <c r="D3" i="4" a="1"/>
  <c r="D3" i="4" s="1"/>
  <c r="C3" i="4" a="1"/>
  <c r="C3" i="4" s="1"/>
  <c r="B3" i="4" a="1"/>
  <c r="B3" i="4" s="1"/>
  <c r="D2" i="4" a="1"/>
  <c r="D2" i="4" s="1"/>
  <c r="C2" i="4" a="1"/>
  <c r="C2" i="4" s="1"/>
  <c r="B2" i="4" a="1"/>
  <c r="B2" i="4" s="1"/>
  <c r="E3" i="4" a="1"/>
  <c r="E3" i="4" s="1"/>
  <c r="E2" i="4" a="1"/>
  <c r="E2" i="4" s="1"/>
  <c r="E6" i="4" a="1"/>
  <c r="E6" i="4" s="1"/>
  <c r="E5" i="4" a="1"/>
  <c r="E5" i="4" s="1"/>
  <c r="E4" i="4" a="1"/>
  <c r="E4" i="4" s="1"/>
  <c r="D5" i="3" a="1"/>
  <c r="D5" i="3" s="1"/>
  <c r="D4" i="3" a="1"/>
  <c r="D4" i="3" s="1"/>
  <c r="D3" i="3" a="1"/>
  <c r="D3" i="3" s="1"/>
  <c r="D2" i="3" a="1"/>
  <c r="D2" i="3" s="1"/>
  <c r="C5" i="3" a="1"/>
  <c r="C5" i="3" s="1"/>
  <c r="C4" i="3" a="1"/>
  <c r="C4" i="3" s="1"/>
  <c r="C3" i="3" a="1"/>
  <c r="C3" i="3" s="1"/>
  <c r="B5" i="3" a="1"/>
  <c r="B5" i="3" s="1"/>
  <c r="B4" i="3" a="1"/>
  <c r="B4" i="3" s="1"/>
  <c r="B3" i="3" a="1"/>
  <c r="B3" i="3" s="1"/>
  <c r="B2" i="3" a="1"/>
  <c r="B2" i="3" s="1"/>
  <c r="E5" i="3" a="1"/>
  <c r="E5" i="3" s="1"/>
  <c r="E4" i="3" a="1"/>
  <c r="E4" i="3" s="1"/>
  <c r="E3" i="3" a="1"/>
  <c r="E3" i="3" s="1"/>
  <c r="E2" i="3" a="1"/>
  <c r="E2" i="3" s="1"/>
  <c r="E2" i="2" a="1"/>
  <c r="E2" i="2" s="1"/>
  <c r="H8" i="9" l="1"/>
  <c r="K2" i="11"/>
  <c r="H7" i="9"/>
  <c r="J2" i="11"/>
  <c r="H5" i="9"/>
  <c r="H3" i="9"/>
  <c r="C8" i="9"/>
  <c r="D8" i="9"/>
  <c r="E8" i="9"/>
  <c r="H6" i="9"/>
  <c r="H4" i="9"/>
  <c r="J2" i="9" a="1"/>
  <c r="J2" i="9" s="1"/>
  <c r="K2" i="9" a="1"/>
  <c r="K2" i="9" s="1"/>
  <c r="B2" i="9" a="1"/>
  <c r="B2" i="9" s="1"/>
  <c r="E2" i="9" s="1"/>
  <c r="B7" i="9" a="1"/>
  <c r="B7" i="9" s="1"/>
  <c r="B6" i="9" a="1"/>
  <c r="B6" i="9" s="1"/>
  <c r="B5" i="9" a="1"/>
  <c r="B5" i="9" s="1"/>
  <c r="B4" i="9" a="1"/>
  <c r="B4" i="9" s="1"/>
  <c r="B3" i="9" a="1"/>
  <c r="B3" i="9" s="1"/>
  <c r="E3" i="2" a="1"/>
  <c r="E3" i="2" s="1"/>
  <c r="D3" i="2" a="1"/>
  <c r="D3" i="2" s="1"/>
  <c r="D2" i="2" a="1"/>
  <c r="D2" i="2" s="1"/>
  <c r="C3" i="2" a="1"/>
  <c r="C3" i="2" s="1"/>
  <c r="B3" i="2" a="1"/>
  <c r="B3" i="2" s="1"/>
  <c r="C7" i="9" l="1"/>
  <c r="E7" i="9"/>
  <c r="F7" i="9"/>
  <c r="D7" i="9"/>
  <c r="D2" i="9"/>
  <c r="D3" i="9"/>
  <c r="C3" i="9"/>
  <c r="E3" i="9"/>
  <c r="F3" i="9"/>
  <c r="D4" i="9"/>
  <c r="F4" i="9"/>
  <c r="E4" i="9"/>
  <c r="C4" i="9"/>
  <c r="F2" i="9"/>
  <c r="F5" i="9"/>
  <c r="E5" i="9"/>
  <c r="C5" i="9"/>
  <c r="D5" i="9"/>
  <c r="D6" i="9" s="1"/>
  <c r="H2" i="9"/>
  <c r="F6" i="9"/>
  <c r="E6" i="9"/>
  <c r="C6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<sst xmlns="http://schemas.openxmlformats.org/spreadsheetml/2006/main" count="2025" uniqueCount="182">
  <si>
    <t xml:space="preserve"> </t>
  </si>
  <si>
    <t>Client Salary</t>
  </si>
  <si>
    <t>Market P25</t>
  </si>
  <si>
    <t>Market P50</t>
  </si>
  <si>
    <t>Market P75</t>
  </si>
  <si>
    <t>GM</t>
  </si>
  <si>
    <t>DGM</t>
  </si>
  <si>
    <t>Sr Manager</t>
  </si>
  <si>
    <t>Manager</t>
  </si>
  <si>
    <t>Assistant Manager</t>
  </si>
  <si>
    <t>Sr Executive</t>
  </si>
  <si>
    <t>Circle K Salary</t>
  </si>
  <si>
    <t>D1</t>
  </si>
  <si>
    <t>C2</t>
  </si>
  <si>
    <t>D2</t>
  </si>
  <si>
    <t>C3</t>
  </si>
  <si>
    <t>E1</t>
  </si>
  <si>
    <t>B2</t>
  </si>
  <si>
    <t>`</t>
  </si>
  <si>
    <t>Wage Bill</t>
  </si>
  <si>
    <t>Headcount</t>
  </si>
  <si>
    <t>Para Professional</t>
  </si>
  <si>
    <t>Professional</t>
  </si>
  <si>
    <t>Management</t>
  </si>
  <si>
    <t>Circle K Levels</t>
  </si>
  <si>
    <t>Q1</t>
  </si>
  <si>
    <t>Q2</t>
  </si>
  <si>
    <t>Q3</t>
  </si>
  <si>
    <t>Q4</t>
  </si>
  <si>
    <t>Competitiveness against Market P50</t>
  </si>
  <si>
    <t>Deviation from Market P50</t>
  </si>
  <si>
    <t>E2</t>
  </si>
  <si>
    <t>=</t>
  </si>
  <si>
    <t>▼</t>
  </si>
  <si>
    <t>S.NO.</t>
  </si>
  <si>
    <t>Designation</t>
  </si>
  <si>
    <t>Internal Grade</t>
  </si>
  <si>
    <t>BUSINESS FUNCTIONS 
- VERTICALS</t>
  </si>
  <si>
    <t>BUSINESS SUB FUNCTIONS 
- SUB VERTICALS</t>
  </si>
  <si>
    <t>Employee type (IC/PM)</t>
  </si>
  <si>
    <t>Location of Operations</t>
  </si>
  <si>
    <t>Mercer Family</t>
  </si>
  <si>
    <t>Mercer Sub Family</t>
  </si>
  <si>
    <t>Mercer Specialization</t>
  </si>
  <si>
    <t>Mercer Level</t>
  </si>
  <si>
    <t>CK Level as per Mercer</t>
  </si>
  <si>
    <t>Final Mercer Levels</t>
  </si>
  <si>
    <t>Proff</t>
  </si>
  <si>
    <t>Mercer Specialization+Level</t>
  </si>
  <si>
    <t>Tagging</t>
  </si>
  <si>
    <t>No. of
Orgs</t>
  </si>
  <si>
    <t>No. of
Obs</t>
  </si>
  <si>
    <t>Circle K Salary(2+R)</t>
  </si>
  <si>
    <t>10th
Percentile(2+R)</t>
  </si>
  <si>
    <t>25th
Percentile(2+R)</t>
  </si>
  <si>
    <t>50th
Percentile(2+R)</t>
  </si>
  <si>
    <t>75th
Percentile(2+R)</t>
  </si>
  <si>
    <t>90th
Percentile(2+R)</t>
  </si>
  <si>
    <t>Gender</t>
  </si>
  <si>
    <t>Remarks</t>
  </si>
  <si>
    <t>Circle K Salary(3+R)</t>
  </si>
  <si>
    <t xml:space="preserve">QUARTILE </t>
  </si>
  <si>
    <t>Senior Manager Development &amp; System Support</t>
  </si>
  <si>
    <t>Transportation Franchise</t>
  </si>
  <si>
    <t>Fuel &amp; EV</t>
  </si>
  <si>
    <t>PM</t>
  </si>
  <si>
    <t>Gurugram</t>
  </si>
  <si>
    <t>Project/Program Management</t>
  </si>
  <si>
    <t>Technical Project/Program Management</t>
  </si>
  <si>
    <t>Technical Project Management</t>
  </si>
  <si>
    <t>M40</t>
  </si>
  <si>
    <t>TECH</t>
  </si>
  <si>
    <t>Male</t>
  </si>
  <si>
    <t>Analytics Delivery Lead</t>
  </si>
  <si>
    <t>Data &amp; Analytics</t>
  </si>
  <si>
    <t>Data Analytics/Warehousing, &amp; Business Intelligence</t>
  </si>
  <si>
    <t>Data Analytics &amp; Business Intelligence (BI)</t>
  </si>
  <si>
    <t>Business Intelligence (BI) Data Analysis</t>
  </si>
  <si>
    <t>M30+M40</t>
  </si>
  <si>
    <t>Female</t>
  </si>
  <si>
    <t>--</t>
  </si>
  <si>
    <t>Data Science Manager</t>
  </si>
  <si>
    <t>Data Science</t>
  </si>
  <si>
    <t>M30</t>
  </si>
  <si>
    <t>Senior Finance Manager</t>
  </si>
  <si>
    <t>Global Finance</t>
  </si>
  <si>
    <t>Finance</t>
  </si>
  <si>
    <t>Finance Generalists</t>
  </si>
  <si>
    <t>Financial Planning &amp; Analysis</t>
  </si>
  <si>
    <t>SUPPORT</t>
  </si>
  <si>
    <t>Analytics Manager</t>
  </si>
  <si>
    <t>Manager Data Engineering</t>
  </si>
  <si>
    <t>Global Tech</t>
  </si>
  <si>
    <t>Internal Data Engineering &amp; Warehousing</t>
  </si>
  <si>
    <t>Internal Database Engineering</t>
  </si>
  <si>
    <t>Senior Data Scientist</t>
  </si>
  <si>
    <t>IC</t>
  </si>
  <si>
    <t>P30</t>
  </si>
  <si>
    <t>Senior Data Visualization Analyst</t>
  </si>
  <si>
    <t>Senior Data Analyst</t>
  </si>
  <si>
    <t>Manager HR</t>
  </si>
  <si>
    <t>Corporate Human Resource</t>
  </si>
  <si>
    <t>Human Resources</t>
  </si>
  <si>
    <t>Human Resources Generalists</t>
  </si>
  <si>
    <t>General Human Resources</t>
  </si>
  <si>
    <t>M20</t>
  </si>
  <si>
    <t>Data Scientist</t>
  </si>
  <si>
    <t>P10</t>
  </si>
  <si>
    <t>Senior Business Analyst</t>
  </si>
  <si>
    <t>Functional Business Analyst</t>
  </si>
  <si>
    <t>Senior Developer</t>
  </si>
  <si>
    <t>Global Fuel Operations</t>
  </si>
  <si>
    <t>IT, Telecom &amp; Internet</t>
  </si>
  <si>
    <t>Software Product Engineering</t>
  </si>
  <si>
    <t>Software Development Engineering (High Tech)</t>
  </si>
  <si>
    <t>Scrum Master</t>
  </si>
  <si>
    <t>Anaplan Demand Planning Manager</t>
  </si>
  <si>
    <t>Outsourcing &amp; Global Capability Centers</t>
  </si>
  <si>
    <t>Supply Chain &amp; Logistics (Outsourcing &amp; Global Capability Centers)</t>
  </si>
  <si>
    <t>Supply Chain Planning (Outsourcing &amp; Global Capability Centers)</t>
  </si>
  <si>
    <t>OPERATIONS</t>
  </si>
  <si>
    <t>Machine Learning Specialist</t>
  </si>
  <si>
    <t>Data Visualization Analyst</t>
  </si>
  <si>
    <t>MLOps Analyst</t>
  </si>
  <si>
    <t>MDM &amp; Data Analyst</t>
  </si>
  <si>
    <t>Data Management, Processing &amp; Analytics (Outsourcing &amp; Global Capability Centers)</t>
  </si>
  <si>
    <t>Data Management (Outsourcing &amp; Global Capability Centers)</t>
  </si>
  <si>
    <t>S20</t>
  </si>
  <si>
    <t>Para P</t>
  </si>
  <si>
    <t>Data Engineer</t>
  </si>
  <si>
    <t>Business Analyst</t>
  </si>
  <si>
    <t>Associate Data Scientist</t>
  </si>
  <si>
    <t>B3</t>
  </si>
  <si>
    <t>P20</t>
  </si>
  <si>
    <t>Specialist IT Onsite Support</t>
  </si>
  <si>
    <t>Information Technology</t>
  </si>
  <si>
    <t>IT User Support</t>
  </si>
  <si>
    <t>General IT User Support</t>
  </si>
  <si>
    <t>Anaplan Demand Analyst</t>
  </si>
  <si>
    <t>Specialist- HR Ops</t>
  </si>
  <si>
    <t>Planning Manager</t>
  </si>
  <si>
    <t>Specialist Finance</t>
  </si>
  <si>
    <t>Associate Business Analyst</t>
  </si>
  <si>
    <t>B2B Analyst</t>
  </si>
  <si>
    <t>Logistics Stock Reconciliation &amp; Billing Manager</t>
  </si>
  <si>
    <t>Finance &amp; Accounting (Outsourcing &amp; Global Capability Centers)</t>
  </si>
  <si>
    <t>Accounts Payable/Receivable (Outsourcing &amp; Global Capability Centers)</t>
  </si>
  <si>
    <t>M10</t>
  </si>
  <si>
    <t>Planner</t>
  </si>
  <si>
    <t>Specialist Admin</t>
  </si>
  <si>
    <t>Facilities</t>
  </si>
  <si>
    <t>Administration, Facilities &amp; Secretarial</t>
  </si>
  <si>
    <t>Administration &amp; Secretarial</t>
  </si>
  <si>
    <t>General Office Administration &amp; Secretarial Management</t>
  </si>
  <si>
    <t>Specialist System Support</t>
  </si>
  <si>
    <t>Data Analyst</t>
  </si>
  <si>
    <t>Data Analytics</t>
  </si>
  <si>
    <t>Logistics Data Analyst</t>
  </si>
  <si>
    <t>Specialist Distribution</t>
  </si>
  <si>
    <t>Associate Pricing Strategy Analyst</t>
  </si>
  <si>
    <t>Billing Specialist</t>
  </si>
  <si>
    <t>Shipment Handling Specialist</t>
  </si>
  <si>
    <t>Q1 (Less than P25)</t>
  </si>
  <si>
    <t>Q2  (P25 to P50)</t>
  </si>
  <si>
    <t>Q3 (P50 to P75)</t>
  </si>
  <si>
    <t>Q4 (Greater than P75)</t>
  </si>
  <si>
    <t>HC</t>
  </si>
  <si>
    <t>No. of inc</t>
  </si>
  <si>
    <t>min</t>
  </si>
  <si>
    <t>P25</t>
  </si>
  <si>
    <t>P50</t>
  </si>
  <si>
    <t>P75</t>
  </si>
  <si>
    <t>P90</t>
  </si>
  <si>
    <t>Max</t>
  </si>
  <si>
    <t>Max to Min Spread</t>
  </si>
  <si>
    <t>P90 to P10 Spread</t>
  </si>
  <si>
    <t>Level on Level Progression</t>
  </si>
  <si>
    <t>Deviation from market P50</t>
  </si>
  <si>
    <t>Mercer Function</t>
  </si>
  <si>
    <t xml:space="preserve">Head count </t>
  </si>
  <si>
    <t>Mercer</t>
  </si>
  <si>
    <t>Client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</si>
</sst>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 * #,##0.00_ ;_ * \-#,##0.00_ ;_ * &quot;-&quot;??_ ;_ @_ 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sz val="18"/>
      <name val="Arial"/>
      <family val="2"/>
    </font>
    <font>
      <b/>
      <sz val="11"/>
      <color rgb="FFFFFFFF"/>
      <name val="Arial"/>
      <family val="2"/>
    </font>
    <font>
      <sz val="11"/>
      <color rgb="FF002C77"/>
      <name val="Calibri"/>
      <family val="2"/>
    </font>
    <font>
      <b/>
      <sz val="28"/>
      <color rgb="FFFFC000"/>
      <name val="Calibri"/>
      <family val="2"/>
    </font>
    <font>
      <b/>
      <sz val="28"/>
      <color rgb="FFFF0000"/>
      <name val="Calibri"/>
      <family val="2"/>
    </font>
    <font>
      <b/>
      <sz val="9"/>
      <color theme="0"/>
      <name val="Calibri"/>
      <family val="2"/>
    </font>
    <font>
      <sz val="9"/>
      <name val="Calibri"/>
      <family val="2"/>
    </font>
    <font>
      <sz val="9"/>
      <color theme="1"/>
      <name val="Calibri"/>
      <family val="2"/>
    </font>
    <font>
      <b/>
      <sz val="9"/>
      <color theme="1"/>
      <name val="Calibri"/>
      <family val="2"/>
    </font>
    <font>
      <sz val="11"/>
      <color rgb="FF002060"/>
      <name val="Aptos Narrow"/>
      <family val="2"/>
      <scheme val="minor"/>
    </font>
    <font>
      <sz val="11"/>
      <color rgb="FF000000"/>
      <name val="Aptos Narrow"/>
      <family val="2"/>
    </font>
  </fonts>
  <fills count="15">
    <fill>
      <patternFill patternType="none"/>
    </fill>
    <fill>
      <patternFill patternType="gray125"/>
    </fill>
    <fill>
      <patternFill patternType="solid">
        <fgColor rgb="FF002C7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8DDDFF"/>
        <bgColor indexed="64"/>
      </patternFill>
    </fill>
    <fill>
      <patternFill patternType="solid">
        <fgColor rgb="FF73DBFF"/>
        <bgColor indexed="64"/>
      </patternFill>
    </fill>
    <fill>
      <patternFill patternType="solid">
        <fgColor rgb="FFC6EEFF"/>
        <bgColor indexed="64"/>
      </patternFill>
    </fill>
    <fill>
      <patternFill patternType="solid">
        <fgColor rgb="FFB9EDFF"/>
        <bgColor indexed="64"/>
      </patternFill>
    </fill>
    <fill>
      <patternFill patternType="solid">
        <fgColor rgb="FF0077A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medium">
        <color rgb="FFB4B4B4"/>
      </left>
      <right style="medium">
        <color rgb="FFFFFFFF"/>
      </right>
      <top style="medium">
        <color rgb="FFB4B4B4"/>
      </top>
      <bottom/>
      <diagonal/>
    </border>
    <border>
      <left style="medium">
        <color rgb="FFB4B4B4"/>
      </left>
      <right style="medium">
        <color rgb="FFFFFFFF"/>
      </right>
      <top/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B4B4B4"/>
      </top>
      <bottom/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 style="medium">
        <color rgb="FFFFFFFF"/>
      </left>
      <right style="medium">
        <color rgb="FFB4B4B4"/>
      </right>
      <top style="medium">
        <color rgb="FFB4B4B4"/>
      </top>
      <bottom/>
      <diagonal/>
    </border>
    <border>
      <left style="medium">
        <color rgb="FFFFFFFF"/>
      </left>
      <right style="medium">
        <color rgb="FFB4B4B4"/>
      </right>
      <top/>
      <bottom style="medium">
        <color rgb="FFFFFFFF"/>
      </bottom>
      <diagonal/>
    </border>
    <border>
      <left style="medium">
        <color rgb="FFB4B4B4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B4B4B4"/>
      </right>
      <top style="medium">
        <color rgb="FFFFFFFF"/>
      </top>
      <bottom style="medium">
        <color rgb="FFFFFFF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</borders>
  <cellStyleXfs count="12">
    <xf numFmtId="0" fontId="0" fillId="0" borderId="0"/>
    <xf numFmtId="43" fontId="1" fillId="0" borderId="0" applyFont="0" applyFill="0" applyBorder="0" applyAlignment="0" applyProtection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2">
    <xf numFmtId="0" fontId="0" fillId="0" borderId="0" xfId="0"/>
    <xf numFmtId="3" fontId="0" fillId="0" borderId="0" xfId="0" applyNumberFormat="1"/>
    <xf numFmtId="164" fontId="0" fillId="0" borderId="0" xfId="1" applyNumberFormat="1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164" fontId="0" fillId="0" borderId="0" xfId="0" applyNumberFormat="1"/>
    <xf numFmtId="9" fontId="0" fillId="0" borderId="0" xfId="0" applyNumberFormat="1"/>
    <xf numFmtId="9" fontId="0" fillId="0" borderId="0" xfId="11" applyFont="1"/>
    <xf numFmtId="0" fontId="5" fillId="3" borderId="7" xfId="0" applyFont="1" applyFill="1" applyBorder="1" applyAlignment="1">
      <alignment horizontal="center" wrapText="1" readingOrder="1"/>
    </xf>
    <xf numFmtId="0" fontId="5" fillId="3" borderId="8" xfId="0" applyFont="1" applyFill="1" applyBorder="1" applyAlignment="1">
      <alignment horizontal="center" wrapText="1" readingOrder="1"/>
    </xf>
    <xf numFmtId="9" fontId="5" fillId="0" borderId="8" xfId="0" applyNumberFormat="1" applyFont="1" applyBorder="1" applyAlignment="1">
      <alignment horizontal="center" wrapText="1" readingOrder="1"/>
    </xf>
    <xf numFmtId="9" fontId="5" fillId="4" borderId="8" xfId="0" applyNumberFormat="1" applyFont="1" applyFill="1" applyBorder="1" applyAlignment="1">
      <alignment horizontal="center" wrapText="1" readingOrder="1"/>
    </xf>
    <xf numFmtId="0" fontId="3" fillId="3" borderId="8" xfId="0" applyFont="1" applyFill="1" applyBorder="1" applyAlignment="1">
      <alignment horizontal="center" vertical="center" wrapText="1"/>
    </xf>
    <xf numFmtId="9" fontId="5" fillId="3" borderId="9" xfId="0" applyNumberFormat="1" applyFont="1" applyFill="1" applyBorder="1" applyAlignment="1">
      <alignment horizontal="center" wrapText="1" readingOrder="1"/>
    </xf>
    <xf numFmtId="9" fontId="5" fillId="5" borderId="8" xfId="0" applyNumberFormat="1" applyFont="1" applyFill="1" applyBorder="1" applyAlignment="1">
      <alignment horizontal="center" wrapText="1" readingOrder="1"/>
    </xf>
    <xf numFmtId="9" fontId="5" fillId="6" borderId="8" xfId="0" applyNumberFormat="1" applyFont="1" applyFill="1" applyBorder="1" applyAlignment="1">
      <alignment horizontal="center" wrapText="1" readingOrder="1"/>
    </xf>
    <xf numFmtId="0" fontId="6" fillId="3" borderId="8" xfId="0" applyFont="1" applyFill="1" applyBorder="1" applyAlignment="1">
      <alignment horizontal="center" vertical="center" wrapText="1" readingOrder="1"/>
    </xf>
    <xf numFmtId="9" fontId="5" fillId="7" borderId="8" xfId="0" applyNumberFormat="1" applyFont="1" applyFill="1" applyBorder="1" applyAlignment="1">
      <alignment horizontal="center" wrapText="1" readingOrder="1"/>
    </xf>
    <xf numFmtId="0" fontId="7" fillId="3" borderId="8" xfId="0" applyFont="1" applyFill="1" applyBorder="1" applyAlignment="1">
      <alignment horizontal="center" vertical="center" wrapText="1" readingOrder="1"/>
    </xf>
    <xf numFmtId="0" fontId="8" fillId="8" borderId="10" xfId="2" applyFont="1" applyFill="1" applyBorder="1" applyAlignment="1">
      <alignment horizontal="center" vertical="center" wrapText="1"/>
    </xf>
    <xf numFmtId="0" fontId="8" fillId="9" borderId="10" xfId="2" applyFont="1" applyFill="1" applyBorder="1" applyAlignment="1">
      <alignment horizontal="center" vertical="center" wrapText="1"/>
    </xf>
    <xf numFmtId="0" fontId="8" fillId="8" borderId="10" xfId="0" applyFont="1" applyFill="1" applyBorder="1" applyAlignment="1">
      <alignment horizontal="center" vertical="center" wrapText="1"/>
    </xf>
    <xf numFmtId="0" fontId="8" fillId="8" borderId="11" xfId="0" applyFont="1" applyFill="1" applyBorder="1" applyAlignment="1">
      <alignment horizontal="center" vertical="center" wrapText="1"/>
    </xf>
    <xf numFmtId="0" fontId="8" fillId="8" borderId="0" xfId="0" applyFont="1" applyFill="1" applyAlignment="1">
      <alignment horizontal="center" vertical="center" wrapText="1"/>
    </xf>
    <xf numFmtId="0" fontId="9" fillId="10" borderId="12" xfId="3" applyFont="1" applyFill="1" applyBorder="1" applyAlignment="1">
      <alignment horizontal="center" vertical="center"/>
    </xf>
    <xf numFmtId="0" fontId="10" fillId="10" borderId="12" xfId="0" applyFont="1" applyFill="1" applyBorder="1" applyAlignment="1">
      <alignment horizontal="center" vertical="center"/>
    </xf>
    <xf numFmtId="3" fontId="9" fillId="10" borderId="12" xfId="4" applyNumberFormat="1" applyFont="1" applyFill="1" applyBorder="1" applyAlignment="1">
      <alignment horizontal="center" vertical="center"/>
    </xf>
    <xf numFmtId="3" fontId="11" fillId="11" borderId="12" xfId="0" applyNumberFormat="1" applyFont="1" applyFill="1" applyBorder="1" applyAlignment="1">
      <alignment horizontal="center" vertical="center"/>
    </xf>
    <xf numFmtId="3" fontId="10" fillId="10" borderId="12" xfId="0" applyNumberFormat="1" applyFont="1" applyFill="1" applyBorder="1" applyAlignment="1">
      <alignment horizontal="center" vertical="center"/>
    </xf>
    <xf numFmtId="3" fontId="10" fillId="12" borderId="12" xfId="0" applyNumberFormat="1" applyFont="1" applyFill="1" applyBorder="1" applyAlignment="1">
      <alignment horizontal="center" vertical="center"/>
    </xf>
    <xf numFmtId="3" fontId="11" fillId="11" borderId="0" xfId="0" applyNumberFormat="1" applyFont="1" applyFill="1" applyAlignment="1">
      <alignment horizontal="center" vertical="center"/>
    </xf>
    <xf numFmtId="0" fontId="0" fillId="13" borderId="0" xfId="0" quotePrefix="1" applyFill="1"/>
    <xf numFmtId="0" fontId="0" fillId="14" borderId="0" xfId="0" applyFill="1"/>
    <xf numFmtId="0" fontId="0" fillId="13" borderId="0" xfId="0" applyFill="1"/>
    <xf numFmtId="3" fontId="9" fillId="10" borderId="12" xfId="4" quotePrefix="1" applyNumberFormat="1" applyFont="1" applyFill="1" applyBorder="1" applyAlignment="1">
      <alignment horizontal="center" vertical="center"/>
    </xf>
    <xf numFmtId="0" fontId="12" fillId="0" borderId="0" xfId="0" applyFont="1"/>
    <xf numFmtId="0" fontId="4" fillId="2" borderId="1" xfId="0" applyFont="1" applyFill="1" applyBorder="1" applyAlignment="1">
      <alignment horizontal="center" vertical="center" wrapText="1" readingOrder="1"/>
    </xf>
    <xf numFmtId="0" fontId="4" fillId="2" borderId="2" xfId="0" applyFont="1" applyFill="1" applyBorder="1" applyAlignment="1">
      <alignment horizontal="center" vertical="center" wrapText="1" readingOrder="1"/>
    </xf>
    <xf numFmtId="0" fontId="4" fillId="2" borderId="3" xfId="0" applyFont="1" applyFill="1" applyBorder="1" applyAlignment="1">
      <alignment horizontal="center" vertical="center" wrapText="1" readingOrder="1"/>
    </xf>
    <xf numFmtId="0" fontId="4" fillId="2" borderId="4" xfId="0" applyFont="1" applyFill="1" applyBorder="1" applyAlignment="1">
      <alignment horizontal="center" vertical="center" wrapText="1" readingOrder="1"/>
    </xf>
    <xf numFmtId="0" fontId="4" fillId="2" borderId="5" xfId="0" applyFont="1" applyFill="1" applyBorder="1" applyAlignment="1">
      <alignment horizontal="center" vertical="center" wrapText="1" readingOrder="1"/>
    </xf>
    <xf numFmtId="0" fontId="4" fillId="2" borderId="6" xfId="0" applyFont="1" applyFill="1" applyBorder="1" applyAlignment="1">
      <alignment horizontal="center" vertical="center" wrapText="1" readingOrder="1"/>
    </xf>
  </cellXfs>
  <cellStyles count="12">
    <cellStyle name="Comma" xfId="1" builtinId="3"/>
    <cellStyle name="Comma 2" xfId="10" xr:uid="{4405B23D-F8A8-4F64-A4FE-99F8400C3853}"/>
    <cellStyle name="Normal" xfId="0" builtinId="0"/>
    <cellStyle name="Normal 12" xfId="7" xr:uid="{0938B8C4-10D2-4B4C-8DBF-C8387A6FE785}"/>
    <cellStyle name="Normal 2" xfId="4" xr:uid="{3CBC57C9-095A-4C05-9515-2E9F2D6BB78E}"/>
    <cellStyle name="Normal 2 2" xfId="2" xr:uid="{CE922DEB-ED8B-48AF-A7BF-503668849190}"/>
    <cellStyle name="Normal 28" xfId="8" xr:uid="{86699659-C9D6-4587-AA45-27CAE28DFEE0}"/>
    <cellStyle name="Normal 3 2" xfId="3" xr:uid="{A7F83EFF-64CB-466F-9E08-E9DFC43212D1}"/>
    <cellStyle name="Normal 43" xfId="9" xr:uid="{333B2B25-7F30-412A-9E18-9FB54C2188FF}"/>
    <cellStyle name="Normal 5 2" xfId="5" xr:uid="{6AAC9194-23FC-4074-BC7A-FF9474CA45A3}"/>
    <cellStyle name="Normal 6 3" xfId="6" xr:uid="{9B402FA4-EC5E-4146-B696-9AC857492F5D}"/>
    <cellStyle name="Percent" xfId="1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002060"/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r>
              <a:rPr lang="en-US" sz="1100" b="1">
                <a:solidFill>
                  <a:srgbClr val="002060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Gender</a:t>
            </a:r>
            <a:r>
              <a:rPr lang="en-US" sz="1100" b="1" baseline="0">
                <a:solidFill>
                  <a:srgbClr val="002060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 Prevalence </a:t>
            </a:r>
            <a:endParaRPr lang="en-US" sz="1100" b="1">
              <a:solidFill>
                <a:srgbClr val="002060"/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002060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'Gender vs pay'!$A$2:$A$3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tx>
          <c:spPr>
            <a:ln w="0" cmpd="sng">
              <a:solidFill>
                <a:schemeClr val="lt1">
                  <a:alpha val="80000"/>
                </a:schemeClr>
              </a:solidFill>
            </a:ln>
          </c:spPr>
          <c:dPt>
            <c:idx val="0"/>
            <c:bubble3D val="0"/>
            <c:spPr>
              <a:solidFill>
                <a:schemeClr val="accent4">
                  <a:lumMod val="50000"/>
                </a:schemeClr>
              </a:solidFill>
              <a:ln w="0" cmpd="sng">
                <a:solidFill>
                  <a:schemeClr val="lt1">
                    <a:alpha val="8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E16-4CE3-85F0-DDB908CEDD5A}"/>
              </c:ext>
            </c:extLst>
          </c:dPt>
          <c:dPt>
            <c:idx val="1"/>
            <c:bubble3D val="0"/>
            <c:spPr>
              <a:solidFill>
                <a:schemeClr val="tx2">
                  <a:lumMod val="50000"/>
                  <a:lumOff val="50000"/>
                </a:schemeClr>
              </a:solidFill>
              <a:ln w="0" cmpd="sng">
                <a:solidFill>
                  <a:schemeClr val="lt1">
                    <a:alpha val="8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1E16-4CE3-85F0-DDB908CEDD5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'Gender vs pay'!$A$2:$A$3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'Gender vs pay'!$B$2:$B$3</c:f>
              <c:numCache>
                <c:formatCode>0%</c:formatCode>
                <c:ptCount val="2"/>
                <c:pt idx="0">
                  <c:v>0.78260869565217395</c:v>
                </c:pt>
                <c:pt idx="1">
                  <c:v>0.21739130434782608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16-4CE3-85F0-DDB908CEDD5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 dirty="0">
                <a:solidFill>
                  <a:srgbClr val="002C77"/>
                </a:solidFill>
              </a:rPr>
              <a:t>Gender Prevalence across Career Levels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'Gender vs pay'!$B$5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'Gender vs pay'!$A$6:$A$8</c:f>
              <c:strCache>
                <c:ptCount val="3"/>
                <c:pt idx="0">
                  <c:v>Management</c:v>
                </c:pt>
                <c:pt idx="1">
                  <c:v>Professional</c:v>
                </c:pt>
                <c:pt idx="2">
                  <c:v>Para P</c:v>
                </c:pt>
              </c:strCache>
            </c:strRef>
          </c:cat>
          <c:val>
            <c:numRef>
              <c:f>'Gender vs pay'!$B$6:$B$8</c:f>
              <c:numCache>
                <c:formatCode>0%</c:formatCode>
                <c:ptCount val="3"/>
                <c:pt idx="0">
                  <c:v>0.6875</c:v>
                </c:pt>
                <c:pt idx="1">
                  <c:v>0.75824175824175821</c:v>
                </c:pt>
                <c:pt idx="2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38-409A-B549-9A00C3EA7A4C}"/>
            </c:ext>
          </c:extLst>
        </c:ser>
        <c:ser>
          <c:idx val="1"/>
          <c:order val="1"/>
          <c:tx>
            <c:strRef>
              <c:f>'Gender vs pay'!$C$5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'Gender vs pay'!$A$6:$A$8</c:f>
              <c:strCache>
                <c:ptCount val="3"/>
                <c:pt idx="0">
                  <c:v>Management</c:v>
                </c:pt>
                <c:pt idx="1">
                  <c:v>Professional</c:v>
                </c:pt>
                <c:pt idx="2">
                  <c:v>Para P</c:v>
                </c:pt>
              </c:strCache>
            </c:strRef>
          </c:cat>
          <c:val>
            <c:numRef>
              <c:f>'Gender vs pay'!$C$6:$C$8</c:f>
              <c:numCache>
                <c:formatCode>0%</c:formatCode>
                <c:ptCount val="3"/>
                <c:pt idx="0">
                  <c:v>0.3125</c:v>
                </c:pt>
                <c:pt idx="1">
                  <c:v>0.24175824175824176</c:v>
                </c:pt>
                <c:pt idx="2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38-409A-B549-9A00C3EA7A4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28102447"/>
        <c:axId val="530544031"/>
      </c:barChart>
      <c:catAx>
        <c:axId val="428102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544031"/>
        <c:crosses val="autoZero"/>
        <c:auto val="1"/>
        <c:lblAlgn val="ctr"/>
        <c:lblOffset val="100"/>
        <c:noMultiLvlLbl val="0"/>
      </c:catAx>
      <c:valAx>
        <c:axId val="530544031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4281024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r>
              <a:rPr lang="en-GB" sz="1100" b="1" i="0" u="none" strike="noStrike" kern="1200" spc="0" baseline="0" dirty="0">
                <a:solidFill>
                  <a:srgbClr val="002C77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Gender vs Pay</a:t>
            </a:r>
          </a:p>
          <a:p>
            <a:pPr>
              <a:defRPr b="1">
                <a:latin typeface="Calibri" panose="020F0502020204030204" pitchFamily="34" charset="0"/>
                <a:cs typeface="Calibri" panose="020F0502020204030204" pitchFamily="34" charset="0"/>
              </a:defRPr>
            </a:pPr>
            <a:r>
              <a:rPr lang="en-GB" sz="1100" b="1" i="0" u="none" strike="noStrike" kern="1200" spc="0" baseline="0" dirty="0">
                <a:solidFill>
                  <a:srgbClr val="002C77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(Median CMP2T+R)</a:t>
            </a:r>
          </a:p>
          <a:p>
            <a:pPr>
              <a:defRPr b="1">
                <a:latin typeface="Calibri" panose="020F0502020204030204" pitchFamily="34" charset="0"/>
                <a:cs typeface="Calibri" panose="020F0502020204030204" pitchFamily="34" charset="0"/>
              </a:defRPr>
            </a:pPr>
            <a:endParaRPr lang="en-US" sz="1100" b="1" i="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'Gender vs pay'!$B$11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'Gender vs pay'!$A$12:$A$14</c:f>
              <c:strCache>
                <c:ptCount val="3"/>
                <c:pt idx="0">
                  <c:v>Management</c:v>
                </c:pt>
                <c:pt idx="1">
                  <c:v>Professional</c:v>
                </c:pt>
                <c:pt idx="2">
                  <c:v>Para P</c:v>
                </c:pt>
              </c:strCache>
            </c:strRef>
          </c:cat>
          <c:val>
            <c:numRef>
              <c:f>'Gender vs pay'!$B$12:$B$14</c:f>
              <c:numCache>
                <c:formatCode>#,##0</c:formatCode>
                <c:ptCount val="3"/>
                <c:pt idx="0">
                  <c:v>3500000</c:v>
                </c:pt>
                <c:pt idx="1">
                  <c:v>1100000</c:v>
                </c:pt>
                <c:pt idx="2">
                  <c:v>564870.47297999996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77-4297-B783-C469162139E7}"/>
            </c:ext>
          </c:extLst>
        </c:ser>
        <c:ser>
          <c:idx val="1"/>
          <c:order val="1"/>
          <c:tx>
            <c:strRef>
              <c:f>'Gender vs pay'!$C$11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'Gender vs pay'!$A$12:$A$14</c:f>
              <c:strCache>
                <c:ptCount val="3"/>
                <c:pt idx="0">
                  <c:v>Management</c:v>
                </c:pt>
                <c:pt idx="1">
                  <c:v>Professional</c:v>
                </c:pt>
                <c:pt idx="2">
                  <c:v>Para P</c:v>
                </c:pt>
              </c:strCache>
            </c:strRef>
          </c:cat>
          <c:val>
            <c:numRef>
              <c:f>'Gender vs pay'!$C$12:$C$14</c:f>
              <c:numCache>
                <c:formatCode>#,##0</c:formatCode>
                <c:ptCount val="3"/>
                <c:pt idx="0">
                  <c:v>3220339.3415999999</c:v>
                </c:pt>
                <c:pt idx="1">
                  <c:v>1510647.8000000003</c:v>
                </c:pt>
                <c:pt idx="2">
                  <c:v>479505.01040000003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77-4297-B783-C46916213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0533471"/>
        <c:axId val="530531071"/>
      </c:barChart>
      <c:catAx>
        <c:axId val="530533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531071"/>
        <c:crosses val="autoZero"/>
        <c:auto val="1"/>
        <c:lblAlgn val="ctr"/>
        <c:lblOffset val="100"/>
        <c:noMultiLvlLbl val="0"/>
      </c:catAx>
      <c:valAx>
        <c:axId val="530531071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0533471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721474974405911"/>
          <c:y val="0.16847288455140291"/>
          <c:w val="0.74162886918943405"/>
          <c:h val="0.47518311565333854"/>
        </c:manualLayout>
      </c:layout>
      <c:lineChart>
        <c:grouping val="standard"/>
        <c:varyColors val="0"/>
        <c:ser>
          <c:idx val="0"/>
          <c:order val="0"/>
          <c:tx>
            <c:strRef>
              <c:f>'Specialization Wise analysis'!$B$1</c:f>
              <c:strCache>
                <c:ptCount val="1"/>
                <c:pt idx="0">
                  <c:v>Client Salary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 cmpd="dbl">
                <a:solidFill>
                  <a:schemeClr val="accent1"/>
                </a:solidFill>
                <a:prstDash val="dash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'Specialization Wise analysis'!$A$2:$A$7</c15:sqref>
                  </c15:fullRef>
                </c:ext>
              </c:extLst>
              <c:f>'Specialization Wise analysis'!$A$3:$A$7</c:f>
              <c:strCache>
                <c:ptCount val="5"/>
                <c:pt idx="0">
                  <c:v>DGM</c:v>
                </c:pt>
                <c:pt idx="1">
                  <c:v>Sr Manager</c:v>
                </c:pt>
                <c:pt idx="2">
                  <c:v>Manager</c:v>
                </c:pt>
                <c:pt idx="3">
                  <c:v>Assistant Manager</c:v>
                </c:pt>
                <c:pt idx="4">
                  <c:v>Sr Executive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'Specialization Wise analysis'!$B$2:$B$7</c15:sqref>
                  </c15:fullRef>
                </c:ext>
              </c:extLst>
              <c:f>'Specialization Wise analysis'!$B$3:$B$7</c:f>
              <c:numCache>
                <c:formatCode>_(* #,##0_);_(* \(#,##0\);_(* "-"??_);_(@_)</c:formatCode>
                <c:ptCount val="5"/>
                <c:pt idx="0">
                  <c:v>4596700</c:v>
                </c:pt>
                <c:pt idx="1">
                  <c:v>3050000</c:v>
                </c:pt>
                <c:pt idx="2">
                  <c:v>2035400</c:v>
                </c:pt>
                <c:pt idx="3">
                  <c:v>1032750</c:v>
                </c:pt>
                <c:pt idx="4">
                  <c:v>658500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32-4F7B-8558-CD481C4D25FC}"/>
            </c:ext>
          </c:extLst>
        </c:ser>
        <c:ser>
          <c:idx val="1"/>
          <c:order val="1"/>
          <c:tx>
            <c:strRef>
              <c:f>'Specialization Wise analysis'!$C$1</c:f>
              <c:strCache>
                <c:ptCount val="1"/>
                <c:pt idx="0">
                  <c:v>Market P25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'Specialization Wise analysis'!$A$2:$A$7</c15:sqref>
                  </c15:fullRef>
                </c:ext>
              </c:extLst>
              <c:f>'Specialization Wise analysis'!$A$3:$A$7</c:f>
              <c:strCache>
                <c:ptCount val="5"/>
                <c:pt idx="0">
                  <c:v>DGM</c:v>
                </c:pt>
                <c:pt idx="1">
                  <c:v>Sr Manager</c:v>
                </c:pt>
                <c:pt idx="2">
                  <c:v>Manager</c:v>
                </c:pt>
                <c:pt idx="3">
                  <c:v>Assistant Manager</c:v>
                </c:pt>
                <c:pt idx="4">
                  <c:v>Sr Executive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'Specialization Wise analysis'!$C$2:$C$7</c15:sqref>
                  </c15:fullRef>
                </c:ext>
              </c:extLst>
              <c:f>'Specialization Wise analysis'!$C$3:$C$7</c:f>
              <c:numCache>
                <c:formatCode>_(* #,##0_);_(* \(#,##0\);_(* "-"??_);_(@_)</c:formatCode>
                <c:ptCount val="5"/>
                <c:pt idx="0">
                  <c:v>3328167</c:v>
                </c:pt>
                <c:pt idx="1">
                  <c:v>1856417</c:v>
                </c:pt>
                <c:pt idx="2">
                  <c:v>1487656</c:v>
                </c:pt>
                <c:pt idx="3">
                  <c:v>1206320</c:v>
                </c:pt>
                <c:pt idx="4">
                  <c:v>1039535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2-4F7B-8558-CD481C4D25FC}"/>
            </c:ext>
          </c:extLst>
        </c:ser>
        <c:ser>
          <c:idx val="2"/>
          <c:order val="2"/>
          <c:tx>
            <c:strRef>
              <c:f>'Specialization Wise analysis'!$D$1</c:f>
              <c:strCache>
                <c:ptCount val="1"/>
                <c:pt idx="0">
                  <c:v>Market P50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'Specialization Wise analysis'!$A$2:$A$7</c15:sqref>
                  </c15:fullRef>
                </c:ext>
              </c:extLst>
              <c:f>'Specialization Wise analysis'!$A$3:$A$7</c:f>
              <c:strCache>
                <c:ptCount val="5"/>
                <c:pt idx="0">
                  <c:v>DGM</c:v>
                </c:pt>
                <c:pt idx="1">
                  <c:v>Sr Manager</c:v>
                </c:pt>
                <c:pt idx="2">
                  <c:v>Manager</c:v>
                </c:pt>
                <c:pt idx="3">
                  <c:v>Assistant Manager</c:v>
                </c:pt>
                <c:pt idx="4">
                  <c:v>Sr Executive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'Specialization Wise analysis'!$D$2:$D$7</c15:sqref>
                  </c15:fullRef>
                </c:ext>
              </c:extLst>
              <c:f>'Specialization Wise analysis'!$D$3:$D$7</c:f>
              <c:numCache>
                <c:formatCode>_(* #,##0_);_(* \(#,##0\);_(* "-"??_);_(@_)</c:formatCode>
                <c:ptCount val="5"/>
                <c:pt idx="0">
                  <c:v>3738316</c:v>
                </c:pt>
                <c:pt idx="1">
                  <c:v>2619907</c:v>
                </c:pt>
                <c:pt idx="2">
                  <c:v>2002616</c:v>
                </c:pt>
                <c:pt idx="3">
                  <c:v>1513205</c:v>
                </c:pt>
                <c:pt idx="4">
                  <c:v>1460205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32-4F7B-8558-CD481C4D25FC}"/>
            </c:ext>
          </c:extLst>
        </c:ser>
        <c:ser>
          <c:idx val="3"/>
          <c:order val="3"/>
          <c:tx>
            <c:strRef>
              <c:f>'Specialization Wise analysis'!$E$1</c:f>
              <c:strCache>
                <c:ptCount val="1"/>
                <c:pt idx="0">
                  <c:v>Market P75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'Specialization Wise analysis'!$A$2:$A$7</c15:sqref>
                  </c15:fullRef>
                </c:ext>
              </c:extLst>
              <c:f>'Specialization Wise analysis'!$A$3:$A$7</c:f>
              <c:strCache>
                <c:ptCount val="5"/>
                <c:pt idx="0">
                  <c:v>DGM</c:v>
                </c:pt>
                <c:pt idx="1">
                  <c:v>Sr Manager</c:v>
                </c:pt>
                <c:pt idx="2">
                  <c:v>Manager</c:v>
                </c:pt>
                <c:pt idx="3">
                  <c:v>Assistant Manager</c:v>
                </c:pt>
                <c:pt idx="4">
                  <c:v>Sr Executive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'Specialization Wise analysis'!$E$2:$E$7</c15:sqref>
                  </c15:fullRef>
                </c:ext>
              </c:extLst>
              <c:f>'Specialization Wise analysis'!$E$3:$E$7</c:f>
              <c:numCache>
                <c:formatCode>_(* #,##0_);_(* \(#,##0\);_(* "-"??_);_(@_)</c:formatCode>
                <c:ptCount val="5"/>
                <c:pt idx="0">
                  <c:v>5759637</c:v>
                </c:pt>
                <c:pt idx="1">
                  <c:v>3182436</c:v>
                </c:pt>
                <c:pt idx="2">
                  <c:v>2865055</c:v>
                </c:pt>
                <c:pt idx="3">
                  <c:v>2423461</c:v>
                </c:pt>
                <c:pt idx="4">
                  <c:v>1904963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32-4F7B-8558-CD481C4D2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950032"/>
        <c:axId val="347948112"/>
      </c:lineChart>
      <c:catAx>
        <c:axId val="347950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948112"/>
        <c:crosses val="autoZero"/>
        <c:auto val="1"/>
        <c:lblAlgn val="ctr"/>
        <c:lblOffset val="100"/>
        <c:noMultiLvlLbl val="0"/>
      </c:catAx>
      <c:valAx>
        <c:axId val="34794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95003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2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'Supply Chain Planning '!$B$1</c:f>
              <c:strCache>
                <c:ptCount val="1"/>
                <c:pt idx="0">
                  <c:v>Circle K Salary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'Supply Chain Planning '!$A$2:$A$3</c:f>
              <c:strCache>
                <c:ptCount val="2"/>
                <c:pt idx="0">
                  <c:v>D1</c:v>
                </c:pt>
                <c:pt idx="1">
                  <c:v>C2</c:v>
                </c:pt>
              </c:strCache>
            </c:strRef>
          </c:cat>
          <c:val>
            <c:numRef>
              <c:f>'Supply Chain Planning '!$B$2:$B$3</c:f>
              <c:numCache>
                <c:formatCode>_(* #,##0_);_(* \(#,##0\);_(* "-"??_);_(@_)</c:formatCode>
                <c:ptCount val="2"/>
                <c:pt idx="0">
                  <c:v>1200000</c:v>
                </c:pt>
                <c:pt idx="1">
                  <c:v>540539.98959999997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5A-47A3-B700-30445C8AEF79}"/>
            </c:ext>
          </c:extLst>
        </c:ser>
        <c:ser>
          <c:idx val="1"/>
          <c:order val="1"/>
          <c:tx>
            <c:strRef>
              <c:f>'Supply Chain Planning '!$C$1</c:f>
              <c:strCache>
                <c:ptCount val="1"/>
                <c:pt idx="0">
                  <c:v>Market P25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'Supply Chain Planning '!$A$2:$A$3</c:f>
              <c:strCache>
                <c:ptCount val="2"/>
                <c:pt idx="0">
                  <c:v>D1</c:v>
                </c:pt>
                <c:pt idx="1">
                  <c:v>C2</c:v>
                </c:pt>
              </c:strCache>
            </c:strRef>
          </c:cat>
          <c:val>
            <c:numRef>
              <c:f>'Supply Chain Planning '!$C$2:$C$3</c:f>
              <c:numCache>
                <c:formatCode>_(* #,##0_);_(* \(#,##0\);_(* "-"??_);_(@_)</c:formatCode>
                <c:ptCount val="2"/>
                <c:pt idx="0">
                  <c:v>1785280</c:v>
                </c:pt>
                <c:pt idx="1">
                  <c:v>385732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5A-47A3-B700-30445C8AEF79}"/>
            </c:ext>
          </c:extLst>
        </c:ser>
        <c:ser>
          <c:idx val="2"/>
          <c:order val="2"/>
          <c:tx>
            <c:strRef>
              <c:f>'Supply Chain Planning '!$D$1</c:f>
              <c:strCache>
                <c:ptCount val="1"/>
                <c:pt idx="0">
                  <c:v>Market P50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'Supply Chain Planning '!$A$2:$A$3</c:f>
              <c:strCache>
                <c:ptCount val="2"/>
                <c:pt idx="0">
                  <c:v>D1</c:v>
                </c:pt>
                <c:pt idx="1">
                  <c:v>C2</c:v>
                </c:pt>
              </c:strCache>
            </c:strRef>
          </c:cat>
          <c:val>
            <c:numRef>
              <c:f>'Supply Chain Planning '!$D$2:$D$3</c:f>
              <c:numCache>
                <c:formatCode>_(* #,##0_);_(* \(#,##0\);_(* "-"??_);_(@_)</c:formatCode>
                <c:ptCount val="2"/>
                <c:pt idx="0">
                  <c:v>2640848</c:v>
                </c:pt>
                <c:pt idx="1">
                  <c:v>564526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5A-47A3-B700-30445C8AEF79}"/>
            </c:ext>
          </c:extLst>
        </c:ser>
        <c:ser>
          <c:idx val="3"/>
          <c:order val="3"/>
          <c:tx>
            <c:strRef>
              <c:f>'Supply Chain Planning '!$E$1</c:f>
              <c:strCache>
                <c:ptCount val="1"/>
                <c:pt idx="0">
                  <c:v>Market P75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'Supply Chain Planning '!$A$2:$A$3</c:f>
              <c:strCache>
                <c:ptCount val="2"/>
                <c:pt idx="0">
                  <c:v>D1</c:v>
                </c:pt>
                <c:pt idx="1">
                  <c:v>C2</c:v>
                </c:pt>
              </c:strCache>
            </c:strRef>
          </c:cat>
          <c:val>
            <c:numRef>
              <c:f>'Supply Chain Planning '!$E$2:$E$3</c:f>
              <c:numCache>
                <c:formatCode>_(* #,##0_);_(* \(#,##0\);_(* "-"??_);_(@_)</c:formatCode>
                <c:ptCount val="2"/>
                <c:pt idx="0">
                  <c:v>3053579</c:v>
                </c:pt>
                <c:pt idx="1">
                  <c:v>729905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5A-47A3-B700-30445C8AE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721888"/>
        <c:axId val="501718528"/>
      </c:lineChart>
      <c:catAx>
        <c:axId val="501721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718528"/>
        <c:crosses val="autoZero"/>
        <c:auto val="1"/>
        <c:lblAlgn val="ctr"/>
        <c:lblOffset val="100"/>
        <c:noMultiLvlLbl val="0"/>
      </c:catAx>
      <c:valAx>
        <c:axId val="50171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72188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2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'Data Science - Data &amp; Analytics'!$B$1</c:f>
              <c:strCache>
                <c:ptCount val="1"/>
                <c:pt idx="0">
                  <c:v>Circle K Salary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'Data Science - Data &amp; Analytics'!$A$2:$A$5</c:f>
              <c:strCache>
                <c:ptCount val="4"/>
                <c:pt idx="0">
                  <c:v>D2</c:v>
                </c:pt>
                <c:pt idx="1">
                  <c:v>D1</c:v>
                </c:pt>
                <c:pt idx="2">
                  <c:v>C3</c:v>
                </c:pt>
                <c:pt idx="3">
                  <c:v>C2</c:v>
                </c:pt>
              </c:strCache>
            </c:strRef>
          </c:cat>
          <c:val>
            <c:numRef>
              <c:f>'Data Science - Data &amp; Analytics'!$B$2:$B$5</c:f>
              <c:numCache>
                <c:formatCode>#,##0</c:formatCode>
                <c:ptCount val="4"/>
                <c:pt idx="0">
                  <c:v>4487520.88</c:v>
                </c:pt>
                <c:pt idx="1">
                  <c:v>2836800.2000000007</c:v>
                </c:pt>
                <c:pt idx="2">
                  <c:v>1324566.72</c:v>
                </c:pt>
                <c:pt idx="3">
                  <c:v>2068390.8311999999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3F-4A2C-AE4D-406931CF13FC}"/>
            </c:ext>
          </c:extLst>
        </c:ser>
        <c:ser>
          <c:idx val="1"/>
          <c:order val="1"/>
          <c:tx>
            <c:strRef>
              <c:f>'Data Science - Data &amp; Analytics'!$C$1</c:f>
              <c:strCache>
                <c:ptCount val="1"/>
                <c:pt idx="0">
                  <c:v>Market P25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'Data Science - Data &amp; Analytics'!$A$2:$A$5</c:f>
              <c:strCache>
                <c:ptCount val="4"/>
                <c:pt idx="0">
                  <c:v>D2</c:v>
                </c:pt>
                <c:pt idx="1">
                  <c:v>D1</c:v>
                </c:pt>
                <c:pt idx="2">
                  <c:v>C3</c:v>
                </c:pt>
                <c:pt idx="3">
                  <c:v>C2</c:v>
                </c:pt>
              </c:strCache>
            </c:strRef>
          </c:cat>
          <c:val>
            <c:numRef>
              <c:f>'Data Science - Data &amp; Analytics'!$C$2:$C$5</c:f>
              <c:numCache>
                <c:formatCode>#,##0</c:formatCode>
                <c:ptCount val="4"/>
                <c:pt idx="0">
                  <c:v>3589142</c:v>
                </c:pt>
                <c:pt idx="1">
                  <c:v>2332209</c:v>
                </c:pt>
                <c:pt idx="2">
                  <c:v>1389560</c:v>
                </c:pt>
                <c:pt idx="3">
                  <c:v>985302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3F-4A2C-AE4D-406931CF13FC}"/>
            </c:ext>
          </c:extLst>
        </c:ser>
        <c:ser>
          <c:idx val="2"/>
          <c:order val="2"/>
          <c:tx>
            <c:strRef>
              <c:f>'Data Science - Data &amp; Analytics'!$D$1</c:f>
              <c:strCache>
                <c:ptCount val="1"/>
                <c:pt idx="0">
                  <c:v>Market P50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'Data Science - Data &amp; Analytics'!$A$2:$A$5</c:f>
              <c:strCache>
                <c:ptCount val="4"/>
                <c:pt idx="0">
                  <c:v>D2</c:v>
                </c:pt>
                <c:pt idx="1">
                  <c:v>D1</c:v>
                </c:pt>
                <c:pt idx="2">
                  <c:v>C3</c:v>
                </c:pt>
                <c:pt idx="3">
                  <c:v>C2</c:v>
                </c:pt>
              </c:strCache>
            </c:strRef>
          </c:cat>
          <c:val>
            <c:numRef>
              <c:f>'Data Science - Data &amp; Analytics'!$D$2:$D$5</c:f>
              <c:numCache>
                <c:formatCode>#,##0</c:formatCode>
                <c:ptCount val="4"/>
                <c:pt idx="0">
                  <c:v>4157942</c:v>
                </c:pt>
                <c:pt idx="1">
                  <c:v>2475704</c:v>
                </c:pt>
                <c:pt idx="2">
                  <c:v>2103117</c:v>
                </c:pt>
                <c:pt idx="3">
                  <c:v>1310576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3F-4A2C-AE4D-406931CF13FC}"/>
            </c:ext>
          </c:extLst>
        </c:ser>
        <c:ser>
          <c:idx val="3"/>
          <c:order val="3"/>
          <c:tx>
            <c:strRef>
              <c:f>'Data Science - Data &amp; Analytics'!$E$1</c:f>
              <c:strCache>
                <c:ptCount val="1"/>
                <c:pt idx="0">
                  <c:v>Market P75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'Data Science - Data &amp; Analytics'!$A$2:$A$5</c:f>
              <c:strCache>
                <c:ptCount val="4"/>
                <c:pt idx="0">
                  <c:v>D2</c:v>
                </c:pt>
                <c:pt idx="1">
                  <c:v>D1</c:v>
                </c:pt>
                <c:pt idx="2">
                  <c:v>C3</c:v>
                </c:pt>
                <c:pt idx="3">
                  <c:v>C2</c:v>
                </c:pt>
              </c:strCache>
            </c:strRef>
          </c:cat>
          <c:val>
            <c:numRef>
              <c:f>'Data Science - Data &amp; Analytics'!$E$2:$E$5</c:f>
              <c:numCache>
                <c:formatCode>#,##0</c:formatCode>
                <c:ptCount val="4"/>
                <c:pt idx="0">
                  <c:v>5426693</c:v>
                </c:pt>
                <c:pt idx="1">
                  <c:v>4165405</c:v>
                </c:pt>
                <c:pt idx="2">
                  <c:v>2437500</c:v>
                </c:pt>
                <c:pt idx="3">
                  <c:v>1605342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3F-4A2C-AE4D-406931CF1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11136"/>
        <c:axId val="31312096"/>
      </c:lineChart>
      <c:catAx>
        <c:axId val="3131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12096"/>
        <c:crosses val="autoZero"/>
        <c:auto val="1"/>
        <c:lblAlgn val="ctr"/>
        <c:lblOffset val="100"/>
        <c:noMultiLvlLbl val="0"/>
      </c:catAx>
      <c:valAx>
        <c:axId val="3131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111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2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'(BI) Data analysis'!$B$1</c:f>
              <c:strCache>
                <c:ptCount val="1"/>
                <c:pt idx="0">
                  <c:v>Circle K Salary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'(BI) Data analysis'!$A$2:$A$6</c:f>
              <c:strCache>
                <c:ptCount val="5"/>
                <c:pt idx="0">
                  <c:v>E1</c:v>
                </c:pt>
                <c:pt idx="1">
                  <c:v>D2</c:v>
                </c:pt>
                <c:pt idx="2">
                  <c:v>D1</c:v>
                </c:pt>
                <c:pt idx="3">
                  <c:v>C3</c:v>
                </c:pt>
                <c:pt idx="4">
                  <c:v>C2</c:v>
                </c:pt>
              </c:strCache>
            </c:strRef>
          </c:cat>
          <c:val>
            <c:numRef>
              <c:f>'(BI) Data analysis'!$B$2:$B$6</c:f>
              <c:numCache>
                <c:formatCode>#,##0</c:formatCode>
                <c:ptCount val="5"/>
                <c:pt idx="0">
                  <c:v>6150012.6293599997</c:v>
                </c:pt>
                <c:pt idx="1">
                  <c:v>3220339.3415999999</c:v>
                </c:pt>
                <c:pt idx="2">
                  <c:v>2522041.3984000003</c:v>
                </c:pt>
                <c:pt idx="3">
                  <c:v>1095125.2050000001</c:v>
                </c:pt>
                <c:pt idx="4">
                  <c:v>1754135.1725999999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B0-4AE3-869B-BD755B9FCB06}"/>
            </c:ext>
          </c:extLst>
        </c:ser>
        <c:ser>
          <c:idx val="2"/>
          <c:order val="2"/>
          <c:tx>
            <c:strRef>
              <c:f>'(BI) Data analysis'!$D$1</c:f>
              <c:strCache>
                <c:ptCount val="1"/>
                <c:pt idx="0">
                  <c:v>Market P50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'(BI) Data analysis'!$A$2:$A$6</c:f>
              <c:strCache>
                <c:ptCount val="5"/>
                <c:pt idx="0">
                  <c:v>E1</c:v>
                </c:pt>
                <c:pt idx="1">
                  <c:v>D2</c:v>
                </c:pt>
                <c:pt idx="2">
                  <c:v>D1</c:v>
                </c:pt>
                <c:pt idx="3">
                  <c:v>C3</c:v>
                </c:pt>
                <c:pt idx="4">
                  <c:v>C2</c:v>
                </c:pt>
              </c:strCache>
            </c:strRef>
          </c:cat>
          <c:val>
            <c:numRef>
              <c:f>'(BI) Data analysis'!$D$2:$D$6</c:f>
              <c:numCache>
                <c:formatCode>#,##0</c:formatCode>
                <c:ptCount val="5"/>
                <c:pt idx="0">
                  <c:v>3948960</c:v>
                </c:pt>
                <c:pt idx="1">
                  <c:v>3168135</c:v>
                </c:pt>
                <c:pt idx="2">
                  <c:v>2102305</c:v>
                </c:pt>
                <c:pt idx="3">
                  <c:v>1129322</c:v>
                </c:pt>
                <c:pt idx="4">
                  <c:v>776839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B0-4AE3-869B-BD755B9FCB06}"/>
            </c:ext>
          </c:extLst>
        </c:ser>
        <c:ser>
          <c:idx val="3"/>
          <c:order val="3"/>
          <c:tx>
            <c:strRef>
              <c:f>'(BI) Data analysis'!$E$1</c:f>
              <c:strCache>
                <c:ptCount val="1"/>
                <c:pt idx="0">
                  <c:v>Market P75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'(BI) Data analysis'!$A$2:$A$6</c:f>
              <c:strCache>
                <c:ptCount val="5"/>
                <c:pt idx="0">
                  <c:v>E1</c:v>
                </c:pt>
                <c:pt idx="1">
                  <c:v>D2</c:v>
                </c:pt>
                <c:pt idx="2">
                  <c:v>D1</c:v>
                </c:pt>
                <c:pt idx="3">
                  <c:v>C3</c:v>
                </c:pt>
                <c:pt idx="4">
                  <c:v>C2</c:v>
                </c:pt>
              </c:strCache>
            </c:strRef>
          </c:cat>
          <c:val>
            <c:numRef>
              <c:f>'(BI) Data analysis'!$E$2:$E$6</c:f>
              <c:numCache>
                <c:formatCode>#,##0</c:formatCode>
                <c:ptCount val="5"/>
                <c:pt idx="0">
                  <c:v>5421659</c:v>
                </c:pt>
                <c:pt idx="1">
                  <c:v>3973049</c:v>
                </c:pt>
                <c:pt idx="2">
                  <c:v>3420111</c:v>
                </c:pt>
                <c:pt idx="3">
                  <c:v>2191388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B0-4AE3-869B-BD755B9FC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452416"/>
        <c:axId val="63745097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'(BI) Data analysis'!$C$1</c15:sqref>
                        </c15:formulaRef>
                      </c:ext>
                    </c:extLst>
                    <c:strCache>
                      <c:ptCount val="1"/>
                      <c:pt idx="0">
                        <c:v>Market P25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'(BI) Data analysis'!$A$2:$A$6</c15:sqref>
                        </c15:formulaRef>
                      </c:ext>
                    </c:extLst>
                    <c:strCache>
                      <c:ptCount val="5"/>
                      <c:pt idx="0">
                        <c:v>E1</c:v>
                      </c:pt>
                      <c:pt idx="1">
                        <c:v>D2</c:v>
                      </c:pt>
                      <c:pt idx="2">
                        <c:v>D1</c:v>
                      </c:pt>
                      <c:pt idx="3">
                        <c:v>C3</c:v>
                      </c:pt>
                      <c:pt idx="4">
                        <c:v>C2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'(BI) Data analysis'!$C$2:$C$6</c15:sqref>
                        </c15:formulaRef>
                      </c:ext>
                    </c:extLst>
                    <c:numCache>
                      <c:formatCode>#,##0</c:formatCode>
                      <c:ptCount val="5"/>
                      <c:pt idx="0">
                        <c:v>3577374</c:v>
                      </c:pt>
                      <c:pt idx="1">
                        <c:v>2805100</c:v>
                      </c:pt>
                      <c:pt idx="2">
                        <c:v>1744082</c:v>
                      </c:pt>
                      <c:pt idx="3">
                        <c:v>1027612</c:v>
                      </c:pt>
                      <c:pt idx="4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65B0-4AE3-869B-BD755B9FCB06}"/>
                  </c:ext>
                </c:extLst>
              </c15:ser>
            </c15:filteredLineSeries>
          </c:ext>
        </c:extLst>
      </c:lineChart>
      <c:catAx>
        <c:axId val="63745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450976"/>
        <c:crosses val="autoZero"/>
        <c:auto val="1"/>
        <c:lblAlgn val="ctr"/>
        <c:lblOffset val="100"/>
        <c:noMultiLvlLbl val="0"/>
      </c:catAx>
      <c:valAx>
        <c:axId val="63745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45241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2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'Accounts Payable Receivable '!$B$1</c:f>
              <c:strCache>
                <c:ptCount val="1"/>
                <c:pt idx="0">
                  <c:v>Circle K Salary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'Accounts Payable Receivable '!$A$2:$A$3</c:f>
              <c:strCache>
                <c:ptCount val="2"/>
                <c:pt idx="0">
                  <c:v>C3</c:v>
                </c:pt>
                <c:pt idx="1">
                  <c:v>B2</c:v>
                </c:pt>
              </c:strCache>
            </c:strRef>
          </c:cat>
          <c:val>
            <c:numRef>
              <c:f>'Accounts Payable Receivable '!$B$2:$B$3</c:f>
              <c:numCache>
                <c:formatCode>#,##0</c:formatCode>
                <c:ptCount val="2"/>
                <c:pt idx="0">
                  <c:v>1081079.9791999999</c:v>
                </c:pt>
                <c:pt idx="1">
                  <c:v>540090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B4-4CE9-A376-D2D36B27C0A0}"/>
            </c:ext>
          </c:extLst>
        </c:ser>
        <c:ser>
          <c:idx val="1"/>
          <c:order val="1"/>
          <c:tx>
            <c:strRef>
              <c:f>'Accounts Payable Receivable '!$C$1</c:f>
              <c:strCache>
                <c:ptCount val="1"/>
                <c:pt idx="0">
                  <c:v>Market P25</c:v>
                </c:pt>
              </c:strCache>
            </c:strRef>
          </c:tx>
          <c:spPr>
            <a:ln w="28575" cap="rnd">
              <a:gradFill flip="none" rotWithShape="1">
                <a:gsLst>
                  <a:gs pos="0">
                    <a:schemeClr val="accent2">
                      <a:lumMod val="5000"/>
                      <a:lumOff val="95000"/>
                    </a:schemeClr>
                  </a:gs>
                  <a:gs pos="74000">
                    <a:schemeClr val="accent2">
                      <a:lumMod val="45000"/>
                      <a:lumOff val="55000"/>
                    </a:schemeClr>
                  </a:gs>
                  <a:gs pos="83000">
                    <a:schemeClr val="accent2">
                      <a:lumMod val="45000"/>
                      <a:lumOff val="55000"/>
                    </a:schemeClr>
                  </a:gs>
                  <a:gs pos="100000">
                    <a:schemeClr val="accent2">
                      <a:lumMod val="30000"/>
                      <a:lumOff val="70000"/>
                    </a:schemeClr>
                  </a:gs>
                </a:gsLst>
                <a:lin ang="5400000" scaled="1"/>
                <a:tileRect/>
              </a:gra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'Accounts Payable Receivable '!$A$2:$A$3</c:f>
              <c:strCache>
                <c:ptCount val="2"/>
                <c:pt idx="0">
                  <c:v>C3</c:v>
                </c:pt>
                <c:pt idx="1">
                  <c:v>B2</c:v>
                </c:pt>
              </c:strCache>
            </c:strRef>
          </c:cat>
          <c:val>
            <c:numRef>
              <c:f>'Accounts Payable Receivable '!$C$2:$C$3</c:f>
              <c:numCache>
                <c:formatCode>#,##0</c:formatCode>
                <c:ptCount val="2"/>
                <c:pt idx="0">
                  <c:v>1086219</c:v>
                </c:pt>
                <c:pt idx="1">
                  <c:v>507241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B4-4CE9-A376-D2D36B27C0A0}"/>
            </c:ext>
          </c:extLst>
        </c:ser>
        <c:ser>
          <c:idx val="2"/>
          <c:order val="2"/>
          <c:tx>
            <c:strRef>
              <c:f>'Accounts Payable Receivable '!$D$1</c:f>
              <c:strCache>
                <c:ptCount val="1"/>
                <c:pt idx="0">
                  <c:v>Market P50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'Accounts Payable Receivable '!$A$2:$A$3</c:f>
              <c:strCache>
                <c:ptCount val="2"/>
                <c:pt idx="0">
                  <c:v>C3</c:v>
                </c:pt>
                <c:pt idx="1">
                  <c:v>B2</c:v>
                </c:pt>
              </c:strCache>
            </c:strRef>
          </c:cat>
          <c:val>
            <c:numRef>
              <c:f>'Accounts Payable Receivable '!$D$2:$D$3</c:f>
              <c:numCache>
                <c:formatCode>#,##0</c:formatCode>
                <c:ptCount val="2"/>
                <c:pt idx="0">
                  <c:v>1197238</c:v>
                </c:pt>
                <c:pt idx="1">
                  <c:v>596738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B4-4CE9-A376-D2D36B27C0A0}"/>
            </c:ext>
          </c:extLst>
        </c:ser>
        <c:ser>
          <c:idx val="3"/>
          <c:order val="3"/>
          <c:tx>
            <c:strRef>
              <c:f>'Accounts Payable Receivable '!$E$1</c:f>
              <c:strCache>
                <c:ptCount val="1"/>
                <c:pt idx="0">
                  <c:v>Market P75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'Accounts Payable Receivable '!$A$2:$A$3</c:f>
              <c:strCache>
                <c:ptCount val="2"/>
                <c:pt idx="0">
                  <c:v>C3</c:v>
                </c:pt>
                <c:pt idx="1">
                  <c:v>B2</c:v>
                </c:pt>
              </c:strCache>
            </c:strRef>
          </c:cat>
          <c:val>
            <c:numRef>
              <c:f>'Accounts Payable Receivable '!$E$2:$E$3</c:f>
              <c:numCache>
                <c:formatCode>#,##0</c:formatCode>
                <c:ptCount val="2"/>
                <c:pt idx="0">
                  <c:v>1549836</c:v>
                </c:pt>
                <c:pt idx="1">
                  <c:v>693489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B4-4CE9-A376-D2D36B27C0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15456"/>
        <c:axId val="31315936"/>
      </c:lineChart>
      <c:catAx>
        <c:axId val="3131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15936"/>
        <c:crosses val="autoZero"/>
        <c:auto val="1"/>
        <c:lblAlgn val="ctr"/>
        <c:lblOffset val="100"/>
        <c:noMultiLvlLbl val="0"/>
      </c:catAx>
      <c:valAx>
        <c:axId val="3131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1545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2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Peer</a:t>
            </a:r>
            <a:r>
              <a:rPr lang="en-US" baseline="0"/>
              <a:t> Basket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'Workforce Distribution (22)'!$B$1</c:f>
              <c:strCache>
                <c:ptCount val="1"/>
                <c:pt idx="0">
                  <c:v>Wage Bill</c:v>
                </c:pt>
              </c:strCache>
            </c:strRef>
          </c:tx>
          <c:spPr>
            <a:solidFill>
              <a:srgbClr val="002060">
                <a:alpha val="99000"/>
              </a:srgbClr>
            </a:solidFill>
            <a:ln>
              <a:noFill/>
            </a:ln>
            <a:effectLst/>
          </c:spPr>
          <c:invertIfNegative val="0"/>
          <c:cat>
            <c:strRef>
              <c:f>'Workforce Distribution (22)'!$A$2:$A$4</c:f>
              <c:strCache>
                <c:ptCount val="3"/>
                <c:pt idx="0">
                  <c:v>Para Professional</c:v>
                </c:pt>
                <c:pt idx="1">
                  <c:v>Professional</c:v>
                </c:pt>
                <c:pt idx="2">
                  <c:v>Management</c:v>
                </c:pt>
              </c:strCache>
            </c:strRef>
          </c:cat>
          <c:val>
            <c:numRef>
              <c:f>'Workforce Distribution (22)'!$B$2:$B$4</c:f>
              <c:numCache>
                <c:formatCode>0%</c:formatCode>
                <c:ptCount val="3"/>
                <c:pt idx="0">
                  <c:v>7.1204230453648598E-2</c:v>
                </c:pt>
                <c:pt idx="1">
                  <c:v>0.55104543667452854</c:v>
                </c:pt>
                <c:pt idx="2">
                  <c:v>0.37775033287199111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D-42B0-A06E-B6079A7DC5D7}"/>
            </c:ext>
          </c:extLst>
        </c:ser>
        <c:ser>
          <c:idx val="1"/>
          <c:order val="1"/>
          <c:tx>
            <c:strRef>
              <c:f>'Workforce Distribution (22)'!$C$1</c:f>
              <c:strCache>
                <c:ptCount val="1"/>
                <c:pt idx="0">
                  <c:v>Headcount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'Workforce Distribution (22)'!$A$2:$A$4</c:f>
              <c:strCache>
                <c:ptCount val="3"/>
                <c:pt idx="0">
                  <c:v>Para Professional</c:v>
                </c:pt>
                <c:pt idx="1">
                  <c:v>Professional</c:v>
                </c:pt>
                <c:pt idx="2">
                  <c:v>Management</c:v>
                </c:pt>
              </c:strCache>
            </c:strRef>
          </c:cat>
          <c:val>
            <c:numRef>
              <c:f>'Workforce Distribution (22)'!$C$2:$C$4</c:f>
              <c:numCache>
                <c:formatCode>0%</c:formatCode>
                <c:ptCount val="3"/>
                <c:pt idx="0">
                  <c:v>0.24358683985071247</c:v>
                </c:pt>
                <c:pt idx="1">
                  <c:v>0.56729263705206356</c:v>
                </c:pt>
                <c:pt idx="2">
                  <c:v>0.18912052309722399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D-42B0-A06E-B6079A7DC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88347311"/>
        <c:axId val="1988345871"/>
      </c:barChart>
      <c:catAx>
        <c:axId val="19883473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8345871"/>
        <c:crosses val="autoZero"/>
        <c:auto val="1"/>
        <c:lblAlgn val="ctr"/>
        <c:lblOffset val="100"/>
        <c:noMultiLvlLbl val="0"/>
      </c:catAx>
      <c:valAx>
        <c:axId val="1988345871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8347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6477165354330714"/>
          <c:y val="0.13930555555555557"/>
          <c:w val="0.3093453630796150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Circle 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'Workforce Distribution (22)'!$I$1</c:f>
              <c:strCache>
                <c:ptCount val="1"/>
                <c:pt idx="0">
                  <c:v>Wage Bill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'Workforce Distribution (22)'!$H$2:$H$4</c:f>
              <c:strCache>
                <c:ptCount val="3"/>
                <c:pt idx="0">
                  <c:v>Para Professional</c:v>
                </c:pt>
                <c:pt idx="1">
                  <c:v>Professional</c:v>
                </c:pt>
                <c:pt idx="2">
                  <c:v>Management</c:v>
                </c:pt>
              </c:strCache>
            </c:strRef>
          </c:cat>
          <c:val>
            <c:numRef>
              <c:f>'Workforce Distribution (22)'!$I$2:$I$4</c:f>
              <c:numCache>
                <c:formatCode>0%</c:formatCode>
                <c:ptCount val="3"/>
                <c:pt idx="0">
                  <c:v>0.03</c:v>
                </c:pt>
                <c:pt idx="1">
                  <c:v>0.66</c:v>
                </c:pt>
                <c:pt idx="2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C-449E-919F-369DA0098339}"/>
            </c:ext>
          </c:extLst>
        </c:ser>
        <c:ser>
          <c:idx val="1"/>
          <c:order val="1"/>
          <c:tx>
            <c:strRef>
              <c:f>'Workforce Distribution (22)'!$J$1</c:f>
              <c:strCache>
                <c:ptCount val="1"/>
                <c:pt idx="0">
                  <c:v>Headcount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'Workforce Distribution (22)'!$H$2:$H$4</c:f>
              <c:strCache>
                <c:ptCount val="3"/>
                <c:pt idx="0">
                  <c:v>Para Professional</c:v>
                </c:pt>
                <c:pt idx="1">
                  <c:v>Professional</c:v>
                </c:pt>
                <c:pt idx="2">
                  <c:v>Management</c:v>
                </c:pt>
              </c:strCache>
            </c:strRef>
          </c:cat>
          <c:val>
            <c:numRef>
              <c:f>'Workforce Distribution (22)'!$J$2:$J$4</c:f>
              <c:numCache>
                <c:formatCode>0%</c:formatCode>
                <c:ptCount val="3"/>
                <c:pt idx="0">
                  <c:v>7.0000000000000007E-2</c:v>
                </c:pt>
                <c:pt idx="1">
                  <c:v>0.79</c:v>
                </c:pt>
                <c:pt idx="2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1C-449E-919F-369DA00983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55527071"/>
        <c:axId val="455526591"/>
      </c:barChart>
      <c:catAx>
        <c:axId val="4555270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26591"/>
        <c:crosses val="autoZero"/>
        <c:auto val="1"/>
        <c:lblAlgn val="ctr"/>
        <c:lblOffset val="100"/>
        <c:noMultiLvlLbl val="0"/>
      </c:catAx>
      <c:valAx>
        <c:axId val="455526591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27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3699387576552935"/>
          <c:y val="0.13930555555555557"/>
          <c:w val="0.3093453630796150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17</xdr:row>
      <xdr:rowOff>44450</xdr:rowOff>
    </xdr:from>
    <xdr:to>
      <xdr:col>16</xdr:col>
      <xdr:colOff>432176</xdr:colOff>
      <xdr:row>20</xdr:row>
      <xdr:rowOff>163018</xdr:rowOff>
    </xdr:to>
    <xdr:sp macro="" textlink="">
      <xdr:nvSpPr>
        <xdr:cNvPr id="2" name="GLOBALPEERREVIEW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715000" y="3175000"/>
          <a:ext cx="4470776" cy="671018"/>
        </a:xfrm>
        <a:prstGeom prst="rect">
          <a:avLst/>
        </a:prstGeom>
        <a:solidFill>
          <a:schemeClr val="lt1">
            <a:alpha val="300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US" sz="3200">
              <a:solidFill>
                <a:srgbClr val="A9A9A9"/>
              </a:solidFill>
              <a:latin typeface="Arial Black" panose="020B0A04020102020204" pitchFamily="34" charset="0"/>
            </a:rPr>
            <a:t>Not Peer Reviewed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</xdr:row>
          <xdr:rowOff>69850</xdr:rowOff>
        </xdr:from>
        <xdr:to>
          <xdr:col>8</xdr:col>
          <xdr:colOff>285750</xdr:colOff>
          <xdr:row>5</xdr:row>
          <xdr:rowOff>63500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31750</xdr:colOff>
          <xdr:row>7</xdr:row>
          <xdr:rowOff>12700</xdr:rowOff>
        </xdr:from>
        <xdr:to>
          <xdr:col>8</xdr:col>
          <xdr:colOff>317500</xdr:colOff>
          <xdr:row>10</xdr:row>
          <xdr:rowOff>44450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17</xdr:row>
      <xdr:rowOff>44450</xdr:rowOff>
    </xdr:from>
    <xdr:to>
      <xdr:col>16</xdr:col>
      <xdr:colOff>432176</xdr:colOff>
      <xdr:row>20</xdr:row>
      <xdr:rowOff>163018</xdr:rowOff>
    </xdr:to>
    <xdr:sp macro="" textlink="">
      <xdr:nvSpPr>
        <xdr:cNvPr id="2" name="GLOBALPEERREVIEW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5715000" y="3175000"/>
          <a:ext cx="4470776" cy="671018"/>
        </a:xfrm>
        <a:prstGeom prst="rect">
          <a:avLst/>
        </a:prstGeom>
        <a:solidFill>
          <a:schemeClr val="lt1">
            <a:alpha val="300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US" sz="3200">
              <a:solidFill>
                <a:srgbClr val="A9A9A9"/>
              </a:solidFill>
              <a:latin typeface="Arial Black" panose="020B0A04020102020204" pitchFamily="34" charset="0"/>
            </a:rPr>
            <a:t>Not Peer Reviewed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17</xdr:row>
      <xdr:rowOff>44450</xdr:rowOff>
    </xdr:from>
    <xdr:to>
      <xdr:col>16</xdr:col>
      <xdr:colOff>432176</xdr:colOff>
      <xdr:row>20</xdr:row>
      <xdr:rowOff>163018</xdr:rowOff>
    </xdr:to>
    <xdr:sp macro="" textlink="">
      <xdr:nvSpPr>
        <xdr:cNvPr id="2" name="GLOBALPEERREVIE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715000" y="3175000"/>
          <a:ext cx="4470776" cy="671018"/>
        </a:xfrm>
        <a:prstGeom prst="rect">
          <a:avLst/>
        </a:prstGeom>
        <a:solidFill>
          <a:schemeClr val="lt1">
            <a:alpha val="300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US" sz="3200">
              <a:solidFill>
                <a:srgbClr val="A9A9A9"/>
              </a:solidFill>
              <a:latin typeface="Arial Black" panose="020B0A04020102020204" pitchFamily="34" charset="0"/>
            </a:rPr>
            <a:t>Not Peer Reviewed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17</xdr:row>
      <xdr:rowOff>44450</xdr:rowOff>
    </xdr:from>
    <xdr:to>
      <xdr:col>16</xdr:col>
      <xdr:colOff>432176</xdr:colOff>
      <xdr:row>20</xdr:row>
      <xdr:rowOff>163018</xdr:rowOff>
    </xdr:to>
    <xdr:sp macro="" textlink="">
      <xdr:nvSpPr>
        <xdr:cNvPr id="2" name="GLOBALPEERREVIEW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5715000" y="3175000"/>
          <a:ext cx="4470776" cy="671018"/>
        </a:xfrm>
        <a:prstGeom prst="rect">
          <a:avLst/>
        </a:prstGeom>
        <a:solidFill>
          <a:schemeClr val="lt1">
            <a:alpha val="300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US" sz="3200">
              <a:solidFill>
                <a:srgbClr val="A9A9A9"/>
              </a:solidFill>
              <a:latin typeface="Arial Black" panose="020B0A04020102020204" pitchFamily="34" charset="0"/>
            </a:rPr>
            <a:t>Not Peer Reviewed</a:t>
          </a:r>
        </a:p>
      </xdr:txBody>
    </xdr:sp>
    <xdr:clientData/>
  </xdr:twoCellAnchor>
  <xdr:twoCellAnchor>
    <xdr:from>
      <xdr:col>16</xdr:col>
      <xdr:colOff>508000</xdr:colOff>
      <xdr:row>1</xdr:row>
      <xdr:rowOff>12700</xdr:rowOff>
    </xdr:from>
    <xdr:to>
      <xdr:col>19</xdr:col>
      <xdr:colOff>292100</xdr:colOff>
      <xdr:row>12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463549</xdr:colOff>
      <xdr:row>1</xdr:row>
      <xdr:rowOff>6350</xdr:rowOff>
    </xdr:from>
    <xdr:to>
      <xdr:col>14</xdr:col>
      <xdr:colOff>368300</xdr:colOff>
      <xdr:row>15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476250</xdr:colOff>
      <xdr:row>17</xdr:row>
      <xdr:rowOff>0</xdr:rowOff>
    </xdr:from>
    <xdr:to>
      <xdr:col>16</xdr:col>
      <xdr:colOff>79374</xdr:colOff>
      <xdr:row>31</xdr:row>
      <xdr:rowOff>165100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17</xdr:row>
      <xdr:rowOff>44450</xdr:rowOff>
    </xdr:from>
    <xdr:to>
      <xdr:col>16</xdr:col>
      <xdr:colOff>432176</xdr:colOff>
      <xdr:row>20</xdr:row>
      <xdr:rowOff>163018</xdr:rowOff>
    </xdr:to>
    <xdr:sp macro="" textlink="">
      <xdr:nvSpPr>
        <xdr:cNvPr id="2" name="GLOBALPEERREVIEW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715000" y="3175000"/>
          <a:ext cx="4470776" cy="671018"/>
        </a:xfrm>
        <a:prstGeom prst="rect">
          <a:avLst/>
        </a:prstGeom>
        <a:solidFill>
          <a:schemeClr val="lt1">
            <a:alpha val="300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US" sz="3200">
              <a:solidFill>
                <a:srgbClr val="A9A9A9"/>
              </a:solidFill>
              <a:latin typeface="Arial Black" panose="020B0A04020102020204" pitchFamily="34" charset="0"/>
            </a:rPr>
            <a:t>Not Peer Reviewed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18</xdr:row>
      <xdr:rowOff>31750</xdr:rowOff>
    </xdr:from>
    <xdr:to>
      <xdr:col>18</xdr:col>
      <xdr:colOff>432176</xdr:colOff>
      <xdr:row>21</xdr:row>
      <xdr:rowOff>150318</xdr:rowOff>
    </xdr:to>
    <xdr:sp macro="" textlink="">
      <xdr:nvSpPr>
        <xdr:cNvPr id="2" name="GLOBALPEERREVIEW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667000" y="4946650"/>
          <a:ext cx="9309476" cy="671018"/>
        </a:xfrm>
        <a:prstGeom prst="rect">
          <a:avLst/>
        </a:prstGeom>
        <a:solidFill>
          <a:schemeClr val="lt1">
            <a:alpha val="300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US" sz="3200">
              <a:solidFill>
                <a:srgbClr val="A9A9A9"/>
              </a:solidFill>
              <a:latin typeface="Arial Black" panose="020B0A04020102020204" pitchFamily="34" charset="0"/>
            </a:rPr>
            <a:t>Not Peer Reviewed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17</xdr:row>
      <xdr:rowOff>44450</xdr:rowOff>
    </xdr:from>
    <xdr:to>
      <xdr:col>9</xdr:col>
      <xdr:colOff>413331</xdr:colOff>
      <xdr:row>20</xdr:row>
      <xdr:rowOff>163018</xdr:rowOff>
    </xdr:to>
    <xdr:sp macro="" textlink="">
      <xdr:nvSpPr>
        <xdr:cNvPr id="2" name="GLOBALPEERREVIEW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5715000" y="3175000"/>
          <a:ext cx="184731" cy="671018"/>
        </a:xfrm>
        <a:prstGeom prst="rect">
          <a:avLst/>
        </a:prstGeom>
        <a:solidFill>
          <a:schemeClr val="lt1">
            <a:alpha val="300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endParaRPr lang="en-US" sz="3200">
            <a:solidFill>
              <a:srgbClr val="A9A9A9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5</xdr:col>
      <xdr:colOff>530224</xdr:colOff>
      <xdr:row>3</xdr:row>
      <xdr:rowOff>101600</xdr:rowOff>
    </xdr:from>
    <xdr:to>
      <xdr:col>14</xdr:col>
      <xdr:colOff>342899</xdr:colOff>
      <xdr:row>19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17</xdr:row>
      <xdr:rowOff>44450</xdr:rowOff>
    </xdr:from>
    <xdr:to>
      <xdr:col>16</xdr:col>
      <xdr:colOff>432176</xdr:colOff>
      <xdr:row>20</xdr:row>
      <xdr:rowOff>163018</xdr:rowOff>
    </xdr:to>
    <xdr:sp macro="" textlink="">
      <xdr:nvSpPr>
        <xdr:cNvPr id="2" name="GLOBALPEERREVIEW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5715000" y="3175000"/>
          <a:ext cx="4470776" cy="671018"/>
        </a:xfrm>
        <a:prstGeom prst="rect">
          <a:avLst/>
        </a:prstGeom>
        <a:solidFill>
          <a:schemeClr val="lt1">
            <a:alpha val="300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US" sz="3200">
              <a:solidFill>
                <a:srgbClr val="A9A9A9"/>
              </a:solidFill>
              <a:latin typeface="Arial Black" panose="020B0A04020102020204" pitchFamily="34" charset="0"/>
            </a:rPr>
            <a:t>Not Peer Reviewed</a:t>
          </a:r>
        </a:p>
      </xdr:txBody>
    </xdr:sp>
    <xdr:clientData/>
  </xdr:twoCellAnchor>
  <xdr:twoCellAnchor>
    <xdr:from>
      <xdr:col>5</xdr:col>
      <xdr:colOff>466724</xdr:colOff>
      <xdr:row>3</xdr:row>
      <xdr:rowOff>60325</xdr:rowOff>
    </xdr:from>
    <xdr:to>
      <xdr:col>17</xdr:col>
      <xdr:colOff>571500</xdr:colOff>
      <xdr:row>18</xdr:row>
      <xdr:rowOff>41275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17</xdr:row>
      <xdr:rowOff>44450</xdr:rowOff>
    </xdr:from>
    <xdr:to>
      <xdr:col>16</xdr:col>
      <xdr:colOff>432176</xdr:colOff>
      <xdr:row>20</xdr:row>
      <xdr:rowOff>163018</xdr:rowOff>
    </xdr:to>
    <xdr:sp macro="" textlink="">
      <xdr:nvSpPr>
        <xdr:cNvPr id="2" name="GLOBALPEERREVIEW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5715000" y="3175000"/>
          <a:ext cx="4470776" cy="671018"/>
        </a:xfrm>
        <a:prstGeom prst="rect">
          <a:avLst/>
        </a:prstGeom>
        <a:solidFill>
          <a:schemeClr val="lt1">
            <a:alpha val="300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US" sz="3200">
              <a:solidFill>
                <a:srgbClr val="A9A9A9"/>
              </a:solidFill>
              <a:latin typeface="Arial Black" panose="020B0A04020102020204" pitchFamily="34" charset="0"/>
            </a:rPr>
            <a:t>Not Peer Reviewed</a:t>
          </a:r>
        </a:p>
      </xdr:txBody>
    </xdr:sp>
    <xdr:clientData/>
  </xdr:twoCellAnchor>
  <xdr:twoCellAnchor>
    <xdr:from>
      <xdr:col>6</xdr:col>
      <xdr:colOff>193674</xdr:colOff>
      <xdr:row>2</xdr:row>
      <xdr:rowOff>142875</xdr:rowOff>
    </xdr:from>
    <xdr:to>
      <xdr:col>17</xdr:col>
      <xdr:colOff>463549</xdr:colOff>
      <xdr:row>17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536574</xdr:colOff>
      <xdr:row>3</xdr:row>
      <xdr:rowOff>41275</xdr:rowOff>
    </xdr:from>
    <xdr:to>
      <xdr:col>16</xdr:col>
      <xdr:colOff>393699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17</xdr:row>
      <xdr:rowOff>44450</xdr:rowOff>
    </xdr:from>
    <xdr:to>
      <xdr:col>16</xdr:col>
      <xdr:colOff>432176</xdr:colOff>
      <xdr:row>20</xdr:row>
      <xdr:rowOff>163018</xdr:rowOff>
    </xdr:to>
    <xdr:sp macro="" textlink="">
      <xdr:nvSpPr>
        <xdr:cNvPr id="3" name="GLOBALPEERREVIEW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5715000" y="3175000"/>
          <a:ext cx="4470776" cy="671018"/>
        </a:xfrm>
        <a:prstGeom prst="rect">
          <a:avLst/>
        </a:prstGeom>
        <a:solidFill>
          <a:schemeClr val="lt1">
            <a:alpha val="300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US" sz="3200">
              <a:solidFill>
                <a:srgbClr val="A9A9A9"/>
              </a:solidFill>
              <a:latin typeface="Arial Black" panose="020B0A04020102020204" pitchFamily="34" charset="0"/>
            </a:rPr>
            <a:t>Not Peer Reviewed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434974</xdr:colOff>
      <xdr:row>3</xdr:row>
      <xdr:rowOff>41275</xdr:rowOff>
    </xdr:from>
    <xdr:to>
      <xdr:col>15</xdr:col>
      <xdr:colOff>171449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444500</xdr:colOff>
      <xdr:row>17</xdr:row>
      <xdr:rowOff>44450</xdr:rowOff>
    </xdr:from>
    <xdr:to>
      <xdr:col>15</xdr:col>
      <xdr:colOff>38476</xdr:colOff>
      <xdr:row>20</xdr:row>
      <xdr:rowOff>163018</xdr:rowOff>
    </xdr:to>
    <xdr:sp macro="" textlink="">
      <xdr:nvSpPr>
        <xdr:cNvPr id="3" name="GLOBALPEERREVIEW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5715000" y="3175000"/>
          <a:ext cx="4470776" cy="671018"/>
        </a:xfrm>
        <a:prstGeom prst="rect">
          <a:avLst/>
        </a:prstGeom>
        <a:solidFill>
          <a:schemeClr val="lt1">
            <a:alpha val="300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US" sz="3200">
              <a:solidFill>
                <a:srgbClr val="A9A9A9"/>
              </a:solidFill>
              <a:latin typeface="Arial Black" panose="020B0A04020102020204" pitchFamily="34" charset="0"/>
            </a:rPr>
            <a:t>Not Peer Reviewed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17</xdr:row>
      <xdr:rowOff>44450</xdr:rowOff>
    </xdr:from>
    <xdr:to>
      <xdr:col>16</xdr:col>
      <xdr:colOff>432176</xdr:colOff>
      <xdr:row>20</xdr:row>
      <xdr:rowOff>163018</xdr:rowOff>
    </xdr:to>
    <xdr:sp macro="" textlink="">
      <xdr:nvSpPr>
        <xdr:cNvPr id="2" name="GLOBALPEERREVIEW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5715000" y="3175000"/>
          <a:ext cx="4470776" cy="671018"/>
        </a:xfrm>
        <a:prstGeom prst="rect">
          <a:avLst/>
        </a:prstGeom>
        <a:solidFill>
          <a:schemeClr val="lt1">
            <a:alpha val="300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US" sz="3200">
              <a:solidFill>
                <a:srgbClr val="A9A9A9"/>
              </a:solidFill>
              <a:latin typeface="Arial Black" panose="020B0A04020102020204" pitchFamily="34" charset="0"/>
            </a:rPr>
            <a:t>Not Peer Reviewed</a:t>
          </a:r>
        </a:p>
      </xdr:txBody>
    </xdr:sp>
    <xdr:clientData/>
  </xdr:twoCellAnchor>
  <xdr:twoCellAnchor>
    <xdr:from>
      <xdr:col>1</xdr:col>
      <xdr:colOff>73025</xdr:colOff>
      <xdr:row>4</xdr:row>
      <xdr:rowOff>149225</xdr:rowOff>
    </xdr:from>
    <xdr:to>
      <xdr:col>8</xdr:col>
      <xdr:colOff>377825</xdr:colOff>
      <xdr:row>19</xdr:row>
      <xdr:rowOff>130175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269875</xdr:colOff>
      <xdr:row>4</xdr:row>
      <xdr:rowOff>130175</xdr:rowOff>
    </xdr:from>
    <xdr:to>
      <xdr:col>16</xdr:col>
      <xdr:colOff>574675</xdr:colOff>
      <xdr:row>19</xdr:row>
      <xdr:rowOff>111125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4EF3B-6867-494B-B053-688FF07923A4}">
  <dimension ref="A1"/>
  <sheetViews>
    <sheetView workbookViewId="0">
      <selection activeCell="K10" sqref="K10"/>
    </sheetView>
  </sheetViews>
  <sheetFormatPr defaultRowHeight="14.5" x14ac:dyDescent="0.35"/>
  <sheetData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learSpecificSheets">
                <anchor moveWithCells="1" sizeWithCells="1">
                  <from>
                    <xdr:col>6</xdr:col>
                    <xdr:colOff>38100</xdr:colOff>
                    <xdr:row>2</xdr:row>
                    <xdr:rowOff>69850</xdr:rowOff>
                  </from>
                  <to>
                    <xdr:col>8</xdr:col>
                    <xdr:colOff>285750</xdr:colOff>
                    <xdr:row>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Sheet8.CopyDataBetweenWorkbooks">
                <anchor moveWithCells="1" sizeWithCells="1">
                  <from>
                    <xdr:col>6</xdr:col>
                    <xdr:colOff>31750</xdr:colOff>
                    <xdr:row>7</xdr:row>
                    <xdr:rowOff>12700</xdr:rowOff>
                  </from>
                  <to>
                    <xdr:col>8</xdr:col>
                    <xdr:colOff>317500</xdr:colOff>
                    <xdr:row>10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B75DC-7355-4777-A5DD-1169BF692B54}">
  <sheetPr codeName="Sheet8"/>
  <dimension ref="A1:AB116"/>
  <sheetViews>
    <sheetView topLeftCell="G1" workbookViewId="0">
      <selection activeCell="Y1" sqref="Y1"/>
    </sheetView>
  </sheetViews>
  <sheetFormatPr defaultRowHeight="14.5" x14ac:dyDescent="0.35"/>
  <sheetData>
    <row r="1" spans="1:28" ht="72" x14ac:dyDescent="0.35">
      <c r="A1" s="19" t="s">
        <v>34</v>
      </c>
      <c r="B1" s="19" t="s">
        <v>35</v>
      </c>
      <c r="C1" s="19" t="s">
        <v>36</v>
      </c>
      <c r="D1" s="19" t="s">
        <v>37</v>
      </c>
      <c r="E1" s="19" t="s">
        <v>38</v>
      </c>
      <c r="F1" s="19" t="s">
        <v>39</v>
      </c>
      <c r="G1" s="19" t="s">
        <v>40</v>
      </c>
      <c r="H1" s="19" t="s">
        <v>41</v>
      </c>
      <c r="I1" s="19" t="s">
        <v>42</v>
      </c>
      <c r="J1" s="19" t="s">
        <v>43</v>
      </c>
      <c r="K1" s="19" t="s">
        <v>44</v>
      </c>
      <c r="L1" s="20" t="s">
        <v>45</v>
      </c>
      <c r="M1" s="20" t="s">
        <v>46</v>
      </c>
      <c r="N1" s="19" t="s">
        <v>47</v>
      </c>
      <c r="O1" s="19" t="s">
        <v>48</v>
      </c>
      <c r="P1" s="19" t="s">
        <v>49</v>
      </c>
      <c r="Q1" s="19" t="s">
        <v>50</v>
      </c>
      <c r="R1" s="19" t="s">
        <v>51</v>
      </c>
      <c r="S1" s="21" t="s">
        <v>52</v>
      </c>
      <c r="T1" s="21" t="s">
        <v>53</v>
      </c>
      <c r="U1" s="21" t="s">
        <v>54</v>
      </c>
      <c r="V1" s="21" t="s">
        <v>55</v>
      </c>
      <c r="W1" s="21" t="s">
        <v>56</v>
      </c>
      <c r="X1" s="21" t="s">
        <v>57</v>
      </c>
      <c r="Y1" s="22" t="s">
        <v>58</v>
      </c>
      <c r="Z1" s="22" t="s">
        <v>59</v>
      </c>
      <c r="AA1" s="23" t="s">
        <v>60</v>
      </c>
      <c r="AB1" s="23" t="s">
        <v>61</v>
      </c>
    </row>
    <row r="2" spans="1:28" x14ac:dyDescent="0.35">
      <c r="A2" s="24">
        <v>5</v>
      </c>
      <c r="B2" s="24" t="s">
        <v>62</v>
      </c>
      <c r="C2" s="25" t="s">
        <v>31</v>
      </c>
      <c r="D2" s="24" t="s">
        <v>63</v>
      </c>
      <c r="E2" s="26" t="s">
        <v>64</v>
      </c>
      <c r="F2" s="26" t="s">
        <v>65</v>
      </c>
      <c r="G2" s="26" t="s">
        <v>66</v>
      </c>
      <c r="H2" s="26" t="s">
        <v>67</v>
      </c>
      <c r="I2" s="26" t="s">
        <v>68</v>
      </c>
      <c r="J2" s="26" t="s">
        <v>69</v>
      </c>
      <c r="K2" s="26" t="s">
        <v>70</v>
      </c>
      <c r="L2" s="26" t="s">
        <v>31</v>
      </c>
      <c r="M2" s="26" t="s">
        <v>70</v>
      </c>
      <c r="N2" s="26" t="s">
        <v>23</v>
      </c>
      <c r="O2" s="26" t="str">
        <f t="shared" ref="O2:O65" si="0">J2&amp;"_"&amp;K2</f>
        <v>Technical Project Management_M40</v>
      </c>
      <c r="P2" s="26" t="s">
        <v>71</v>
      </c>
      <c r="Q2" s="26">
        <v>20</v>
      </c>
      <c r="R2" s="26">
        <v>320</v>
      </c>
      <c r="S2" s="27">
        <v>7003595.4960000003</v>
      </c>
      <c r="T2" s="28">
        <v>3324705</v>
      </c>
      <c r="U2" s="28">
        <v>4035317</v>
      </c>
      <c r="V2" s="29">
        <v>5032074</v>
      </c>
      <c r="W2" s="28">
        <v>6396770</v>
      </c>
      <c r="X2" s="28">
        <v>8753929</v>
      </c>
      <c r="Y2" t="s">
        <v>72</v>
      </c>
      <c r="Z2" t="str" cm="1">
        <f t="array" ref="Z2">_xlfn.IFS(S2&lt;T2,"Less than 10",S2&lt;U2,"Bt 10 and 25",S2&lt;V2,"Between 25 and 50",S2&lt;W2,"Between 50 and 75",S2&lt;X2,"between 75 and 90",S2&gt;X2,"greater than 90")</f>
        <v>between 75 and 90</v>
      </c>
      <c r="AA2" s="30">
        <v>8316767.4960000003</v>
      </c>
      <c r="AB2" t="s">
        <v>28</v>
      </c>
    </row>
    <row r="3" spans="1:28" x14ac:dyDescent="0.35">
      <c r="A3" s="24">
        <v>1</v>
      </c>
      <c r="B3" s="24" t="s">
        <v>73</v>
      </c>
      <c r="C3" s="25" t="s">
        <v>16</v>
      </c>
      <c r="D3" s="24" t="s">
        <v>74</v>
      </c>
      <c r="E3" s="26" t="s">
        <v>64</v>
      </c>
      <c r="F3" s="26" t="s">
        <v>65</v>
      </c>
      <c r="G3" s="26" t="s">
        <v>66</v>
      </c>
      <c r="H3" s="26" t="s">
        <v>75</v>
      </c>
      <c r="I3" s="26" t="s">
        <v>76</v>
      </c>
      <c r="J3" s="26" t="s">
        <v>77</v>
      </c>
      <c r="K3" s="26" t="s">
        <v>78</v>
      </c>
      <c r="L3" s="26" t="s">
        <v>16</v>
      </c>
      <c r="M3" s="26" t="s">
        <v>78</v>
      </c>
      <c r="N3" s="26" t="s">
        <v>23</v>
      </c>
      <c r="O3" s="26" t="str">
        <f t="shared" si="0"/>
        <v>Business Intelligence (BI) Data Analysis_M30+M40</v>
      </c>
      <c r="P3" s="26" t="s">
        <v>71</v>
      </c>
      <c r="Q3" s="26">
        <v>7</v>
      </c>
      <c r="R3" s="26">
        <v>715</v>
      </c>
      <c r="S3" s="27">
        <v>6150025.2587200003</v>
      </c>
      <c r="T3" s="28"/>
      <c r="U3" s="28">
        <v>3577374</v>
      </c>
      <c r="V3" s="29">
        <v>3948960</v>
      </c>
      <c r="W3" s="28">
        <v>5421659</v>
      </c>
      <c r="X3" s="28"/>
      <c r="Y3" t="s">
        <v>79</v>
      </c>
      <c r="Z3" s="31" t="s">
        <v>80</v>
      </c>
      <c r="AA3" s="30">
        <v>7257025.6187199997</v>
      </c>
      <c r="AB3" s="32" t="s">
        <v>28</v>
      </c>
    </row>
    <row r="4" spans="1:28" x14ac:dyDescent="0.35">
      <c r="A4" s="24">
        <v>3</v>
      </c>
      <c r="B4" s="24" t="s">
        <v>73</v>
      </c>
      <c r="C4" s="25" t="s">
        <v>16</v>
      </c>
      <c r="D4" s="24" t="s">
        <v>74</v>
      </c>
      <c r="E4" s="26" t="s">
        <v>64</v>
      </c>
      <c r="F4" s="26" t="s">
        <v>65</v>
      </c>
      <c r="G4" s="26" t="s">
        <v>66</v>
      </c>
      <c r="H4" s="26" t="s">
        <v>75</v>
      </c>
      <c r="I4" s="26" t="s">
        <v>76</v>
      </c>
      <c r="J4" s="26" t="s">
        <v>77</v>
      </c>
      <c r="K4" s="26" t="s">
        <v>78</v>
      </c>
      <c r="L4" s="26" t="s">
        <v>16</v>
      </c>
      <c r="M4" s="26" t="s">
        <v>78</v>
      </c>
      <c r="N4" s="26" t="s">
        <v>23</v>
      </c>
      <c r="O4" s="26" t="str">
        <f t="shared" si="0"/>
        <v>Business Intelligence (BI) Data Analysis_M30+M40</v>
      </c>
      <c r="P4" s="26" t="s">
        <v>71</v>
      </c>
      <c r="Q4" s="26">
        <v>7</v>
      </c>
      <c r="R4" s="26">
        <v>715</v>
      </c>
      <c r="S4" s="27">
        <v>6150000</v>
      </c>
      <c r="T4" s="28"/>
      <c r="U4" s="28">
        <v>3577374</v>
      </c>
      <c r="V4" s="29">
        <v>3948960</v>
      </c>
      <c r="W4" s="28">
        <v>5421659</v>
      </c>
      <c r="X4" s="28"/>
      <c r="Y4" t="s">
        <v>72</v>
      </c>
      <c r="Z4" s="31" t="s">
        <v>80</v>
      </c>
      <c r="AA4" s="30">
        <v>7257000</v>
      </c>
      <c r="AB4" s="32" t="s">
        <v>28</v>
      </c>
    </row>
    <row r="5" spans="1:28" x14ac:dyDescent="0.35">
      <c r="A5" s="24">
        <v>21</v>
      </c>
      <c r="B5" s="24" t="s">
        <v>81</v>
      </c>
      <c r="C5" s="25" t="s">
        <v>14</v>
      </c>
      <c r="D5" s="24" t="s">
        <v>74</v>
      </c>
      <c r="E5" s="26" t="s">
        <v>64</v>
      </c>
      <c r="F5" s="26" t="s">
        <v>65</v>
      </c>
      <c r="G5" s="26" t="s">
        <v>66</v>
      </c>
      <c r="H5" s="26" t="s">
        <v>75</v>
      </c>
      <c r="I5" s="26" t="s">
        <v>76</v>
      </c>
      <c r="J5" s="26" t="s">
        <v>82</v>
      </c>
      <c r="K5" s="26" t="s">
        <v>83</v>
      </c>
      <c r="L5" s="26" t="s">
        <v>14</v>
      </c>
      <c r="M5" s="26" t="s">
        <v>83</v>
      </c>
      <c r="N5" s="26" t="s">
        <v>23</v>
      </c>
      <c r="O5" s="26" t="str">
        <f t="shared" si="0"/>
        <v>Data Science_M30</v>
      </c>
      <c r="P5" s="26" t="s">
        <v>71</v>
      </c>
      <c r="Q5" s="26">
        <v>8</v>
      </c>
      <c r="R5" s="26">
        <v>124</v>
      </c>
      <c r="S5" s="27">
        <v>4674011.76</v>
      </c>
      <c r="T5" s="28"/>
      <c r="U5" s="28">
        <v>3589142</v>
      </c>
      <c r="V5" s="29">
        <v>4157942</v>
      </c>
      <c r="W5" s="28">
        <v>5426693</v>
      </c>
      <c r="X5" s="28"/>
      <c r="Y5" t="s">
        <v>72</v>
      </c>
      <c r="Z5" s="33" t="str" cm="1">
        <f t="array" ref="Z5">_xlfn.IFS(S5&lt;U5,"Bt 10 and 25",S5&lt;V5,"Between 25 and 50",S5&lt;W5,"Between 50 and 75")</f>
        <v>Between 50 and 75</v>
      </c>
      <c r="AA5" s="30">
        <v>5515331.7599999998</v>
      </c>
      <c r="AB5" s="32" t="s">
        <v>27</v>
      </c>
    </row>
    <row r="6" spans="1:28" x14ac:dyDescent="0.35">
      <c r="A6" s="24">
        <v>27</v>
      </c>
      <c r="B6" s="24" t="s">
        <v>81</v>
      </c>
      <c r="C6" s="25" t="s">
        <v>14</v>
      </c>
      <c r="D6" s="24" t="s">
        <v>74</v>
      </c>
      <c r="E6" s="26" t="s">
        <v>64</v>
      </c>
      <c r="F6" s="26" t="s">
        <v>65</v>
      </c>
      <c r="G6" s="26" t="s">
        <v>66</v>
      </c>
      <c r="H6" s="26" t="s">
        <v>75</v>
      </c>
      <c r="I6" s="26" t="s">
        <v>76</v>
      </c>
      <c r="J6" s="26" t="s">
        <v>82</v>
      </c>
      <c r="K6" s="26" t="s">
        <v>83</v>
      </c>
      <c r="L6" s="26" t="s">
        <v>14</v>
      </c>
      <c r="M6" s="26" t="s">
        <v>83</v>
      </c>
      <c r="N6" s="26" t="s">
        <v>23</v>
      </c>
      <c r="O6" s="26" t="str">
        <f t="shared" si="0"/>
        <v>Data Science_M30</v>
      </c>
      <c r="P6" s="26" t="s">
        <v>71</v>
      </c>
      <c r="Q6" s="26">
        <v>8</v>
      </c>
      <c r="R6" s="26">
        <v>124</v>
      </c>
      <c r="S6" s="27">
        <v>4487520.88</v>
      </c>
      <c r="T6" s="28"/>
      <c r="U6" s="28">
        <v>3589142</v>
      </c>
      <c r="V6" s="29">
        <v>4157942</v>
      </c>
      <c r="W6" s="28">
        <v>5426693</v>
      </c>
      <c r="X6" s="28"/>
      <c r="Y6" t="s">
        <v>72</v>
      </c>
      <c r="Z6" s="33" t="str" cm="1">
        <f t="array" ref="Z6">_xlfn.IFS(S6&lt;U6,"Bt 10 and 25",S6&lt;V6,"Between 25 and 50",S6&lt;W6,"Between 50 and 75")</f>
        <v>Between 50 and 75</v>
      </c>
      <c r="AA6" s="30">
        <v>5362680.88</v>
      </c>
      <c r="AB6" s="32" t="s">
        <v>27</v>
      </c>
    </row>
    <row r="7" spans="1:28" x14ac:dyDescent="0.35">
      <c r="A7" s="24">
        <v>23</v>
      </c>
      <c r="B7" s="24" t="s">
        <v>81</v>
      </c>
      <c r="C7" s="25" t="s">
        <v>14</v>
      </c>
      <c r="D7" s="24" t="s">
        <v>74</v>
      </c>
      <c r="E7" s="26" t="s">
        <v>64</v>
      </c>
      <c r="F7" s="26" t="s">
        <v>65</v>
      </c>
      <c r="G7" s="26" t="s">
        <v>66</v>
      </c>
      <c r="H7" s="26" t="s">
        <v>75</v>
      </c>
      <c r="I7" s="26" t="s">
        <v>76</v>
      </c>
      <c r="J7" s="26" t="s">
        <v>82</v>
      </c>
      <c r="K7" s="26" t="s">
        <v>83</v>
      </c>
      <c r="L7" s="26" t="s">
        <v>14</v>
      </c>
      <c r="M7" s="26" t="s">
        <v>83</v>
      </c>
      <c r="N7" s="26" t="s">
        <v>23</v>
      </c>
      <c r="O7" s="26" t="str">
        <f t="shared" si="0"/>
        <v>Data Science_M30</v>
      </c>
      <c r="P7" s="26" t="s">
        <v>71</v>
      </c>
      <c r="Q7" s="26">
        <v>8</v>
      </c>
      <c r="R7" s="26">
        <v>124</v>
      </c>
      <c r="S7" s="27">
        <v>4142816.5600000005</v>
      </c>
      <c r="T7" s="28"/>
      <c r="U7" s="28">
        <v>3589142</v>
      </c>
      <c r="V7" s="29">
        <v>4157942</v>
      </c>
      <c r="W7" s="28">
        <v>5426693</v>
      </c>
      <c r="X7" s="28"/>
      <c r="Y7" t="s">
        <v>79</v>
      </c>
      <c r="Z7" s="33" t="str" cm="1">
        <f t="array" ref="Z7">_xlfn.IFS(S7&lt;U7,"Bt 10 and 25",S7&lt;V7,"Between 25 and 50",S7&lt;W7,"Between 50 and 75")</f>
        <v>Between 25 and 50</v>
      </c>
      <c r="AA7" s="30">
        <v>4888521.6400000006</v>
      </c>
      <c r="AB7" s="32" t="s">
        <v>26</v>
      </c>
    </row>
    <row r="8" spans="1:28" x14ac:dyDescent="0.35">
      <c r="A8" s="24">
        <v>91</v>
      </c>
      <c r="B8" s="24" t="s">
        <v>84</v>
      </c>
      <c r="C8" s="25" t="s">
        <v>14</v>
      </c>
      <c r="D8" s="24" t="s">
        <v>85</v>
      </c>
      <c r="E8" s="26" t="s">
        <v>64</v>
      </c>
      <c r="F8" s="26" t="s">
        <v>65</v>
      </c>
      <c r="G8" s="26" t="s">
        <v>66</v>
      </c>
      <c r="H8" s="26" t="s">
        <v>86</v>
      </c>
      <c r="I8" s="26" t="s">
        <v>87</v>
      </c>
      <c r="J8" s="26" t="s">
        <v>88</v>
      </c>
      <c r="K8" s="26" t="s">
        <v>83</v>
      </c>
      <c r="L8" s="26" t="s">
        <v>14</v>
      </c>
      <c r="M8" s="26" t="s">
        <v>83</v>
      </c>
      <c r="N8" s="26" t="s">
        <v>23</v>
      </c>
      <c r="O8" s="26" t="str">
        <f t="shared" si="0"/>
        <v>Financial Planning &amp; Analysis_M30</v>
      </c>
      <c r="P8" s="26" t="s">
        <v>89</v>
      </c>
      <c r="Q8" s="34" t="s">
        <v>80</v>
      </c>
      <c r="R8" s="34" t="s">
        <v>80</v>
      </c>
      <c r="S8" s="27">
        <v>3600000</v>
      </c>
      <c r="T8" s="34"/>
      <c r="U8" s="34"/>
      <c r="V8" s="29"/>
      <c r="W8" s="34"/>
      <c r="X8" s="34"/>
      <c r="Y8" t="s">
        <v>72</v>
      </c>
      <c r="Z8" s="31" t="s">
        <v>80</v>
      </c>
      <c r="AA8" s="30">
        <v>4248000</v>
      </c>
    </row>
    <row r="9" spans="1:28" x14ac:dyDescent="0.35">
      <c r="A9" s="24">
        <v>90</v>
      </c>
      <c r="B9" s="24" t="s">
        <v>90</v>
      </c>
      <c r="C9" s="25" t="s">
        <v>14</v>
      </c>
      <c r="D9" s="24" t="s">
        <v>74</v>
      </c>
      <c r="E9" s="26" t="s">
        <v>64</v>
      </c>
      <c r="F9" s="26" t="s">
        <v>65</v>
      </c>
      <c r="G9" s="26" t="s">
        <v>66</v>
      </c>
      <c r="H9" s="26" t="s">
        <v>75</v>
      </c>
      <c r="I9" s="26" t="s">
        <v>76</v>
      </c>
      <c r="J9" s="26" t="s">
        <v>77</v>
      </c>
      <c r="K9" s="26" t="s">
        <v>83</v>
      </c>
      <c r="L9" s="26" t="s">
        <v>14</v>
      </c>
      <c r="M9" s="26" t="s">
        <v>83</v>
      </c>
      <c r="N9" s="26" t="s">
        <v>23</v>
      </c>
      <c r="O9" s="26" t="str">
        <f t="shared" si="0"/>
        <v>Business Intelligence (BI) Data Analysis_M30</v>
      </c>
      <c r="P9" s="26" t="s">
        <v>71</v>
      </c>
      <c r="Q9" s="26">
        <v>6</v>
      </c>
      <c r="R9" s="26">
        <v>463</v>
      </c>
      <c r="S9" s="27">
        <v>3500000</v>
      </c>
      <c r="T9" s="28"/>
      <c r="U9" s="28">
        <v>2805100</v>
      </c>
      <c r="V9" s="29">
        <v>3168135</v>
      </c>
      <c r="W9" s="28">
        <v>3973049</v>
      </c>
      <c r="X9" s="28"/>
      <c r="Y9" t="s">
        <v>72</v>
      </c>
      <c r="Z9" s="33" t="str" cm="1">
        <f t="array" ref="Z9">_xlfn.IFS(S9&lt;U9,"Bt 10 and 25",S9&lt;V9,"Between 25 and 50",S9&lt;W9,"Between 50 and 75")</f>
        <v>Between 50 and 75</v>
      </c>
      <c r="AA9" s="30">
        <v>4130000</v>
      </c>
      <c r="AB9" s="32" t="s">
        <v>27</v>
      </c>
    </row>
    <row r="10" spans="1:28" x14ac:dyDescent="0.35">
      <c r="A10" s="24">
        <v>97</v>
      </c>
      <c r="B10" s="24" t="s">
        <v>91</v>
      </c>
      <c r="C10" s="25" t="s">
        <v>14</v>
      </c>
      <c r="D10" s="24" t="s">
        <v>92</v>
      </c>
      <c r="E10" s="26" t="s">
        <v>64</v>
      </c>
      <c r="F10" s="26" t="s">
        <v>65</v>
      </c>
      <c r="G10" s="26" t="s">
        <v>66</v>
      </c>
      <c r="H10" s="26" t="s">
        <v>75</v>
      </c>
      <c r="I10" s="26" t="s">
        <v>93</v>
      </c>
      <c r="J10" s="26" t="s">
        <v>94</v>
      </c>
      <c r="K10" s="26" t="s">
        <v>83</v>
      </c>
      <c r="L10" s="26" t="s">
        <v>14</v>
      </c>
      <c r="M10" s="26" t="s">
        <v>83</v>
      </c>
      <c r="N10" s="26" t="s">
        <v>23</v>
      </c>
      <c r="O10" s="26" t="str">
        <f t="shared" si="0"/>
        <v>Internal Database Engineering_M30</v>
      </c>
      <c r="P10" s="26" t="s">
        <v>71</v>
      </c>
      <c r="Q10" s="26" t="s">
        <v>80</v>
      </c>
      <c r="R10" s="26" t="s">
        <v>80</v>
      </c>
      <c r="S10" s="27">
        <v>3388800</v>
      </c>
      <c r="T10" s="28"/>
      <c r="U10" s="28"/>
      <c r="V10" s="29"/>
      <c r="W10" s="28"/>
      <c r="X10" s="28"/>
      <c r="Y10" t="s">
        <v>72</v>
      </c>
      <c r="Z10" s="31" t="s">
        <v>80</v>
      </c>
      <c r="AA10" s="30">
        <v>4036800</v>
      </c>
    </row>
    <row r="11" spans="1:28" x14ac:dyDescent="0.35">
      <c r="A11" s="24">
        <v>19</v>
      </c>
      <c r="B11" s="24" t="s">
        <v>95</v>
      </c>
      <c r="C11" s="25" t="s">
        <v>12</v>
      </c>
      <c r="D11" s="24" t="s">
        <v>74</v>
      </c>
      <c r="E11" s="26" t="s">
        <v>64</v>
      </c>
      <c r="F11" s="26" t="s">
        <v>96</v>
      </c>
      <c r="G11" s="26" t="s">
        <v>66</v>
      </c>
      <c r="H11" s="26" t="s">
        <v>75</v>
      </c>
      <c r="I11" s="26" t="s">
        <v>76</v>
      </c>
      <c r="J11" s="26" t="s">
        <v>82</v>
      </c>
      <c r="K11" s="26" t="s">
        <v>97</v>
      </c>
      <c r="L11" s="26" t="s">
        <v>12</v>
      </c>
      <c r="M11" s="26" t="s">
        <v>97</v>
      </c>
      <c r="N11" s="26" t="s">
        <v>22</v>
      </c>
      <c r="O11" s="26" t="str">
        <f t="shared" si="0"/>
        <v>Data Science_P30</v>
      </c>
      <c r="P11" s="26" t="s">
        <v>71</v>
      </c>
      <c r="Q11" s="26">
        <v>11</v>
      </c>
      <c r="R11" s="26">
        <v>435</v>
      </c>
      <c r="S11" s="27">
        <v>3300495.5237999996</v>
      </c>
      <c r="T11" s="28">
        <v>1632896</v>
      </c>
      <c r="U11" s="28">
        <v>2332209</v>
      </c>
      <c r="V11" s="29">
        <v>2475704</v>
      </c>
      <c r="W11" s="28">
        <v>4165405</v>
      </c>
      <c r="X11" s="28">
        <v>4368431</v>
      </c>
      <c r="Y11" t="s">
        <v>72</v>
      </c>
      <c r="Z11" t="str" cm="1">
        <f t="array" ref="Z11">_xlfn.IFS(S11&lt;T11,"Less than 10",S11&lt;U11,"Bt 10 and 25",S11&lt;V11,"Between 25 and 50",S11&lt;W11,"Between 50 and 75",S11&lt;X11,"between 75 and 90",S11&gt;X11,"greater than 90")</f>
        <v>Between 50 and 75</v>
      </c>
      <c r="AA11" s="30">
        <v>3666849.9737999998</v>
      </c>
      <c r="AB11" t="s">
        <v>27</v>
      </c>
    </row>
    <row r="12" spans="1:28" x14ac:dyDescent="0.35">
      <c r="A12" s="24">
        <v>111</v>
      </c>
      <c r="B12" s="24" t="s">
        <v>90</v>
      </c>
      <c r="C12" s="25" t="s">
        <v>14</v>
      </c>
      <c r="D12" s="24" t="s">
        <v>74</v>
      </c>
      <c r="E12" s="26" t="s">
        <v>64</v>
      </c>
      <c r="F12" s="26" t="s">
        <v>65</v>
      </c>
      <c r="G12" s="26" t="s">
        <v>66</v>
      </c>
      <c r="H12" s="26" t="s">
        <v>75</v>
      </c>
      <c r="I12" s="26" t="s">
        <v>76</v>
      </c>
      <c r="J12" s="26" t="s">
        <v>77</v>
      </c>
      <c r="K12" s="26" t="s">
        <v>83</v>
      </c>
      <c r="L12" s="26" t="s">
        <v>14</v>
      </c>
      <c r="M12" s="26" t="s">
        <v>83</v>
      </c>
      <c r="N12" s="26" t="s">
        <v>23</v>
      </c>
      <c r="O12" s="26" t="str">
        <f t="shared" si="0"/>
        <v>Business Intelligence (BI) Data Analysis_M30</v>
      </c>
      <c r="P12" s="26" t="s">
        <v>71</v>
      </c>
      <c r="Q12" s="26">
        <v>6</v>
      </c>
      <c r="R12" s="26">
        <v>463</v>
      </c>
      <c r="S12" s="27">
        <v>3220339.3415999999</v>
      </c>
      <c r="T12" s="28"/>
      <c r="U12" s="28">
        <v>2805100</v>
      </c>
      <c r="V12" s="29">
        <v>3168135</v>
      </c>
      <c r="W12" s="28">
        <v>3973049</v>
      </c>
      <c r="X12" s="28"/>
      <c r="Y12" t="s">
        <v>79</v>
      </c>
      <c r="Z12" s="33" t="str" cm="1">
        <f t="array" ref="Z12">_xlfn.IFS(S12&lt;U12,"Bt 10 and 25",S12&lt;V12,"Between 25 and 50",S12&lt;W12,"Between 50 and 75")</f>
        <v>Between 50 and 75</v>
      </c>
      <c r="AA12" s="30">
        <v>3800000.3415999999</v>
      </c>
      <c r="AB12" s="32" t="s">
        <v>27</v>
      </c>
    </row>
    <row r="13" spans="1:28" x14ac:dyDescent="0.35">
      <c r="A13" s="24">
        <v>25</v>
      </c>
      <c r="B13" s="24" t="s">
        <v>90</v>
      </c>
      <c r="C13" s="25" t="s">
        <v>14</v>
      </c>
      <c r="D13" s="24" t="s">
        <v>74</v>
      </c>
      <c r="E13" s="26" t="s">
        <v>64</v>
      </c>
      <c r="F13" s="26" t="s">
        <v>65</v>
      </c>
      <c r="G13" s="26" t="s">
        <v>66</v>
      </c>
      <c r="H13" s="26" t="s">
        <v>75</v>
      </c>
      <c r="I13" s="26" t="s">
        <v>76</v>
      </c>
      <c r="J13" s="26" t="s">
        <v>77</v>
      </c>
      <c r="K13" s="26" t="s">
        <v>83</v>
      </c>
      <c r="L13" s="26" t="s">
        <v>14</v>
      </c>
      <c r="M13" s="26" t="s">
        <v>83</v>
      </c>
      <c r="N13" s="26" t="s">
        <v>23</v>
      </c>
      <c r="O13" s="26" t="str">
        <f t="shared" si="0"/>
        <v>Business Intelligence (BI) Data Analysis_M30</v>
      </c>
      <c r="P13" s="26" t="s">
        <v>71</v>
      </c>
      <c r="Q13" s="26">
        <v>6</v>
      </c>
      <c r="R13" s="26">
        <v>463</v>
      </c>
      <c r="S13" s="27">
        <v>3092837.5847999998</v>
      </c>
      <c r="T13" s="28"/>
      <c r="U13" s="28">
        <v>2805100</v>
      </c>
      <c r="V13" s="29">
        <v>3168135</v>
      </c>
      <c r="W13" s="28">
        <v>3973049</v>
      </c>
      <c r="X13" s="28"/>
      <c r="Y13" t="s">
        <v>72</v>
      </c>
      <c r="Z13" s="33" t="str" cm="1">
        <f t="array" ref="Z13">_xlfn.IFS(S13&lt;U13,"Bt 10 and 25",S13&lt;V13,"Between 25 and 50",S13&lt;W13,"Between 50 and 75")</f>
        <v>Between 25 and 50</v>
      </c>
      <c r="AA13" s="30">
        <v>3710241.1847999999</v>
      </c>
      <c r="AB13" s="32" t="s">
        <v>26</v>
      </c>
    </row>
    <row r="14" spans="1:28" x14ac:dyDescent="0.35">
      <c r="A14" s="24">
        <v>16</v>
      </c>
      <c r="B14" s="24" t="s">
        <v>95</v>
      </c>
      <c r="C14" s="25" t="s">
        <v>12</v>
      </c>
      <c r="D14" s="24" t="s">
        <v>74</v>
      </c>
      <c r="E14" s="26" t="s">
        <v>64</v>
      </c>
      <c r="F14" s="26" t="s">
        <v>96</v>
      </c>
      <c r="G14" s="26" t="s">
        <v>66</v>
      </c>
      <c r="H14" s="26" t="s">
        <v>75</v>
      </c>
      <c r="I14" s="26" t="s">
        <v>76</v>
      </c>
      <c r="J14" s="26" t="s">
        <v>82</v>
      </c>
      <c r="K14" s="26" t="s">
        <v>97</v>
      </c>
      <c r="L14" s="26" t="s">
        <v>12</v>
      </c>
      <c r="M14" s="26" t="s">
        <v>97</v>
      </c>
      <c r="N14" s="26" t="s">
        <v>22</v>
      </c>
      <c r="O14" s="26" t="str">
        <f t="shared" si="0"/>
        <v>Data Science_P30</v>
      </c>
      <c r="P14" s="26" t="s">
        <v>71</v>
      </c>
      <c r="Q14" s="26">
        <v>11</v>
      </c>
      <c r="R14" s="26">
        <v>435</v>
      </c>
      <c r="S14" s="27">
        <v>2975585.1283200001</v>
      </c>
      <c r="T14" s="28">
        <v>1632896</v>
      </c>
      <c r="U14" s="28">
        <v>2332209</v>
      </c>
      <c r="V14" s="29">
        <v>2475704</v>
      </c>
      <c r="W14" s="28">
        <v>4165405</v>
      </c>
      <c r="X14" s="28">
        <v>4368431</v>
      </c>
      <c r="Y14" t="s">
        <v>72</v>
      </c>
      <c r="Z14" t="str" cm="1">
        <f t="array" ref="Z14">_xlfn.IFS(S14&lt;T14,"Less than 10",S14&lt;U14,"Bt 10 and 25",S14&lt;V14,"Between 25 and 50",S14&lt;W14,"Between 50 and 75",S14&lt;X14,"between 75 and 90",S14&gt;X14,"greater than 90")</f>
        <v>Between 50 and 75</v>
      </c>
      <c r="AA14" s="30">
        <v>3302897.6083200001</v>
      </c>
      <c r="AB14" t="s">
        <v>27</v>
      </c>
    </row>
    <row r="15" spans="1:28" x14ac:dyDescent="0.35">
      <c r="A15" s="24">
        <v>68</v>
      </c>
      <c r="B15" s="24" t="s">
        <v>95</v>
      </c>
      <c r="C15" s="25" t="s">
        <v>12</v>
      </c>
      <c r="D15" s="24" t="s">
        <v>74</v>
      </c>
      <c r="E15" s="26" t="s">
        <v>64</v>
      </c>
      <c r="F15" s="26" t="s">
        <v>96</v>
      </c>
      <c r="G15" s="26" t="s">
        <v>66</v>
      </c>
      <c r="H15" s="26" t="s">
        <v>75</v>
      </c>
      <c r="I15" s="26" t="s">
        <v>76</v>
      </c>
      <c r="J15" s="26" t="s">
        <v>82</v>
      </c>
      <c r="K15" s="26" t="s">
        <v>97</v>
      </c>
      <c r="L15" s="26" t="s">
        <v>12</v>
      </c>
      <c r="M15" s="26" t="s">
        <v>97</v>
      </c>
      <c r="N15" s="26" t="s">
        <v>22</v>
      </c>
      <c r="O15" s="26" t="str">
        <f t="shared" si="0"/>
        <v>Data Science_P30</v>
      </c>
      <c r="P15" s="26" t="s">
        <v>71</v>
      </c>
      <c r="Q15" s="26">
        <v>11</v>
      </c>
      <c r="R15" s="26">
        <v>435</v>
      </c>
      <c r="S15" s="27">
        <v>2925000</v>
      </c>
      <c r="T15" s="28">
        <v>1632896</v>
      </c>
      <c r="U15" s="28">
        <v>2332209</v>
      </c>
      <c r="V15" s="29">
        <v>2475704</v>
      </c>
      <c r="W15" s="28">
        <v>4165405</v>
      </c>
      <c r="X15" s="28">
        <v>4368431</v>
      </c>
      <c r="Y15" t="s">
        <v>72</v>
      </c>
      <c r="Z15" t="str" cm="1">
        <f t="array" ref="Z15">_xlfn.IFS(S15&lt;T15,"Less than 10",S15&lt;U15,"Bt 10 and 25",S15&lt;V15,"Between 25 and 50",S15&lt;W15,"Between 50 and 75",S15&lt;X15,"between 75 and 90",S15&gt;X15,"greater than 90")</f>
        <v>Between 50 and 75</v>
      </c>
      <c r="AA15" s="30">
        <v>3246750</v>
      </c>
      <c r="AB15" t="s">
        <v>27</v>
      </c>
    </row>
    <row r="16" spans="1:28" x14ac:dyDescent="0.35">
      <c r="A16" s="24">
        <v>2</v>
      </c>
      <c r="B16" s="24" t="s">
        <v>95</v>
      </c>
      <c r="C16" s="25" t="s">
        <v>12</v>
      </c>
      <c r="D16" s="24" t="s">
        <v>74</v>
      </c>
      <c r="E16" s="26" t="s">
        <v>64</v>
      </c>
      <c r="F16" s="26" t="s">
        <v>96</v>
      </c>
      <c r="G16" s="26" t="s">
        <v>66</v>
      </c>
      <c r="H16" s="26" t="s">
        <v>75</v>
      </c>
      <c r="I16" s="26" t="s">
        <v>76</v>
      </c>
      <c r="J16" s="26" t="s">
        <v>82</v>
      </c>
      <c r="K16" s="26" t="s">
        <v>97</v>
      </c>
      <c r="L16" s="26" t="s">
        <v>12</v>
      </c>
      <c r="M16" s="26" t="s">
        <v>97</v>
      </c>
      <c r="N16" s="26" t="s">
        <v>22</v>
      </c>
      <c r="O16" s="26" t="str">
        <f t="shared" si="0"/>
        <v>Data Science_P30</v>
      </c>
      <c r="P16" s="26" t="s">
        <v>71</v>
      </c>
      <c r="Q16" s="26">
        <v>11</v>
      </c>
      <c r="R16" s="26">
        <v>435</v>
      </c>
      <c r="S16" s="27">
        <v>2836800.2000000007</v>
      </c>
      <c r="T16" s="28">
        <v>1632896</v>
      </c>
      <c r="U16" s="28">
        <v>2332209</v>
      </c>
      <c r="V16" s="29">
        <v>2475704</v>
      </c>
      <c r="W16" s="28">
        <v>4165405</v>
      </c>
      <c r="X16" s="28">
        <v>4368431</v>
      </c>
      <c r="Y16" t="s">
        <v>72</v>
      </c>
      <c r="Z16" t="str" cm="1">
        <f t="array" ref="Z16">_xlfn.IFS(S16&lt;T16,"Less than 10",S16&lt;U16,"Bt 10 and 25",S16&lt;V16,"Between 25 and 50",S16&lt;W16,"Between 50 and 75",S16&lt;X16,"between 75 and 90",S16&gt;X16,"greater than 90")</f>
        <v>Between 50 and 75</v>
      </c>
      <c r="AA16" s="30">
        <v>3161850.2000000007</v>
      </c>
      <c r="AB16" t="s">
        <v>27</v>
      </c>
    </row>
    <row r="17" spans="1:28" x14ac:dyDescent="0.35">
      <c r="A17" s="24">
        <v>14</v>
      </c>
      <c r="B17" s="24" t="s">
        <v>95</v>
      </c>
      <c r="C17" s="25" t="s">
        <v>12</v>
      </c>
      <c r="D17" s="24" t="s">
        <v>74</v>
      </c>
      <c r="E17" s="26" t="s">
        <v>64</v>
      </c>
      <c r="F17" s="26" t="s">
        <v>96</v>
      </c>
      <c r="G17" s="26" t="s">
        <v>66</v>
      </c>
      <c r="H17" s="26" t="s">
        <v>75</v>
      </c>
      <c r="I17" s="26" t="s">
        <v>76</v>
      </c>
      <c r="J17" s="26" t="s">
        <v>82</v>
      </c>
      <c r="K17" s="26" t="s">
        <v>97</v>
      </c>
      <c r="L17" s="26" t="s">
        <v>12</v>
      </c>
      <c r="M17" s="26" t="s">
        <v>97</v>
      </c>
      <c r="N17" s="26" t="s">
        <v>22</v>
      </c>
      <c r="O17" s="26" t="str">
        <f t="shared" si="0"/>
        <v>Data Science_P30</v>
      </c>
      <c r="P17" s="26" t="s">
        <v>71</v>
      </c>
      <c r="Q17" s="26">
        <v>11</v>
      </c>
      <c r="R17" s="26">
        <v>435</v>
      </c>
      <c r="S17" s="27">
        <v>2828276.1072</v>
      </c>
      <c r="T17" s="28">
        <v>1632896</v>
      </c>
      <c r="U17" s="28">
        <v>2332209</v>
      </c>
      <c r="V17" s="29">
        <v>2475704</v>
      </c>
      <c r="W17" s="28">
        <v>4165405</v>
      </c>
      <c r="X17" s="28">
        <v>4368431</v>
      </c>
      <c r="Y17" t="s">
        <v>72</v>
      </c>
      <c r="Z17" t="str" cm="1">
        <f t="array" ref="Z17">_xlfn.IFS(S17&lt;T17,"Less than 10",S17&lt;U17,"Bt 10 and 25",S17&lt;V17,"Between 25 and 50",S17&lt;W17,"Between 50 and 75",S17&lt;X17,"between 75 and 90",S17&gt;X17,"greater than 90")</f>
        <v>Between 50 and 75</v>
      </c>
      <c r="AA17" s="30">
        <v>3139383.8272000002</v>
      </c>
      <c r="AB17" t="s">
        <v>27</v>
      </c>
    </row>
    <row r="18" spans="1:28" x14ac:dyDescent="0.35">
      <c r="A18" s="24">
        <v>4</v>
      </c>
      <c r="B18" s="24" t="s">
        <v>95</v>
      </c>
      <c r="C18" s="25" t="s">
        <v>12</v>
      </c>
      <c r="D18" s="24" t="s">
        <v>74</v>
      </c>
      <c r="E18" s="26" t="s">
        <v>64</v>
      </c>
      <c r="F18" s="26" t="s">
        <v>96</v>
      </c>
      <c r="G18" s="26" t="s">
        <v>66</v>
      </c>
      <c r="H18" s="26" t="s">
        <v>75</v>
      </c>
      <c r="I18" s="26" t="s">
        <v>76</v>
      </c>
      <c r="J18" s="26" t="s">
        <v>82</v>
      </c>
      <c r="K18" s="26" t="s">
        <v>97</v>
      </c>
      <c r="L18" s="26" t="s">
        <v>12</v>
      </c>
      <c r="M18" s="26" t="s">
        <v>97</v>
      </c>
      <c r="N18" s="26" t="s">
        <v>22</v>
      </c>
      <c r="O18" s="26" t="str">
        <f t="shared" si="0"/>
        <v>Data Science_P30</v>
      </c>
      <c r="P18" s="26" t="s">
        <v>71</v>
      </c>
      <c r="Q18" s="26">
        <v>11</v>
      </c>
      <c r="R18" s="26">
        <v>435</v>
      </c>
      <c r="S18" s="27">
        <v>2772503.1120000002</v>
      </c>
      <c r="T18" s="28">
        <v>1632896</v>
      </c>
      <c r="U18" s="28">
        <v>2332209</v>
      </c>
      <c r="V18" s="29">
        <v>2475704</v>
      </c>
      <c r="W18" s="28">
        <v>4165405</v>
      </c>
      <c r="X18" s="28">
        <v>4368431</v>
      </c>
      <c r="Y18" t="s">
        <v>72</v>
      </c>
      <c r="Z18" t="str" cm="1">
        <f t="array" ref="Z18">_xlfn.IFS(S18&lt;T18,"Less than 10",S18&lt;U18,"Bt 10 and 25",S18&lt;V18,"Between 25 and 50",S18&lt;W18,"Between 50 and 75",S18&lt;X18,"between 75 and 90",S18&gt;X18,"greater than 90")</f>
        <v>Between 50 and 75</v>
      </c>
      <c r="AA18" s="30">
        <v>3088179.3520000004</v>
      </c>
      <c r="AB18" t="s">
        <v>27</v>
      </c>
    </row>
    <row r="19" spans="1:28" x14ac:dyDescent="0.35">
      <c r="A19" s="24">
        <v>18</v>
      </c>
      <c r="B19" s="24" t="s">
        <v>98</v>
      </c>
      <c r="C19" s="25" t="s">
        <v>12</v>
      </c>
      <c r="D19" s="24" t="s">
        <v>74</v>
      </c>
      <c r="E19" s="26" t="s">
        <v>64</v>
      </c>
      <c r="F19" s="26" t="s">
        <v>96</v>
      </c>
      <c r="G19" s="26" t="s">
        <v>66</v>
      </c>
      <c r="H19" s="26" t="s">
        <v>75</v>
      </c>
      <c r="I19" s="26" t="s">
        <v>76</v>
      </c>
      <c r="J19" s="26" t="s">
        <v>77</v>
      </c>
      <c r="K19" s="26" t="s">
        <v>97</v>
      </c>
      <c r="L19" s="26" t="s">
        <v>12</v>
      </c>
      <c r="M19" s="26" t="s">
        <v>97</v>
      </c>
      <c r="N19" s="26" t="s">
        <v>22</v>
      </c>
      <c r="O19" s="26" t="str">
        <f t="shared" si="0"/>
        <v>Business Intelligence (BI) Data Analysis_P30</v>
      </c>
      <c r="P19" s="26" t="s">
        <v>71</v>
      </c>
      <c r="Q19" s="26">
        <v>8</v>
      </c>
      <c r="R19" s="26">
        <v>1318</v>
      </c>
      <c r="S19" s="27">
        <v>2710338.5567999999</v>
      </c>
      <c r="T19" s="28"/>
      <c r="U19" s="28">
        <v>1744082</v>
      </c>
      <c r="V19" s="29">
        <v>2102305</v>
      </c>
      <c r="W19" s="28">
        <v>3420111</v>
      </c>
      <c r="X19" s="28"/>
      <c r="Y19" t="s">
        <v>72</v>
      </c>
      <c r="Z19" s="33" t="str" cm="1">
        <f t="array" ref="Z19">_xlfn.IFS(S19&lt;U19,"Bt 10 and 25",S19&lt;V19,"Between 25 and 50",S19&lt;W19,"Between 50 and 75")</f>
        <v>Between 50 and 75</v>
      </c>
      <c r="AA19" s="30">
        <v>3008473.7568000001</v>
      </c>
      <c r="AB19" s="32" t="s">
        <v>27</v>
      </c>
    </row>
    <row r="20" spans="1:28" x14ac:dyDescent="0.35">
      <c r="A20" s="24">
        <v>15</v>
      </c>
      <c r="B20" s="24" t="s">
        <v>99</v>
      </c>
      <c r="C20" s="25" t="s">
        <v>12</v>
      </c>
      <c r="D20" s="24" t="s">
        <v>74</v>
      </c>
      <c r="E20" s="26" t="s">
        <v>64</v>
      </c>
      <c r="F20" s="26" t="s">
        <v>96</v>
      </c>
      <c r="G20" s="26" t="s">
        <v>66</v>
      </c>
      <c r="H20" s="26" t="s">
        <v>75</v>
      </c>
      <c r="I20" s="26" t="s">
        <v>76</v>
      </c>
      <c r="J20" s="26" t="s">
        <v>77</v>
      </c>
      <c r="K20" s="26" t="s">
        <v>97</v>
      </c>
      <c r="L20" s="26" t="s">
        <v>12</v>
      </c>
      <c r="M20" s="26" t="s">
        <v>97</v>
      </c>
      <c r="N20" s="26" t="s">
        <v>22</v>
      </c>
      <c r="O20" s="26" t="str">
        <f t="shared" si="0"/>
        <v>Business Intelligence (BI) Data Analysis_P30</v>
      </c>
      <c r="P20" s="26" t="s">
        <v>71</v>
      </c>
      <c r="Q20" s="26">
        <v>8</v>
      </c>
      <c r="R20" s="26">
        <v>1318</v>
      </c>
      <c r="S20" s="27">
        <v>2694084.7968000001</v>
      </c>
      <c r="T20" s="28"/>
      <c r="U20" s="28">
        <v>1744082</v>
      </c>
      <c r="V20" s="29">
        <v>2102305</v>
      </c>
      <c r="W20" s="28">
        <v>3420111</v>
      </c>
      <c r="X20" s="28"/>
      <c r="Y20" t="s">
        <v>72</v>
      </c>
      <c r="Z20" s="33" t="str" cm="1">
        <f t="array" ref="Z20">_xlfn.IFS(S20&lt;U20,"Bt 10 and 25",S20&lt;V20,"Between 25 and 50",S20&lt;W20,"Between 50 and 75")</f>
        <v>Between 50 and 75</v>
      </c>
      <c r="AA20" s="30">
        <v>3002779.9968000003</v>
      </c>
      <c r="AB20" s="32" t="s">
        <v>27</v>
      </c>
    </row>
    <row r="21" spans="1:28" x14ac:dyDescent="0.35">
      <c r="A21" s="24">
        <v>66</v>
      </c>
      <c r="B21" s="24" t="s">
        <v>95</v>
      </c>
      <c r="C21" s="25" t="s">
        <v>12</v>
      </c>
      <c r="D21" s="24" t="s">
        <v>74</v>
      </c>
      <c r="E21" s="26" t="s">
        <v>64</v>
      </c>
      <c r="F21" s="26" t="s">
        <v>96</v>
      </c>
      <c r="G21" s="26" t="s">
        <v>66</v>
      </c>
      <c r="H21" s="26" t="s">
        <v>75</v>
      </c>
      <c r="I21" s="26" t="s">
        <v>76</v>
      </c>
      <c r="J21" s="26" t="s">
        <v>82</v>
      </c>
      <c r="K21" s="26" t="s">
        <v>97</v>
      </c>
      <c r="L21" s="26" t="s">
        <v>12</v>
      </c>
      <c r="M21" s="26" t="s">
        <v>97</v>
      </c>
      <c r="N21" s="26" t="s">
        <v>22</v>
      </c>
      <c r="O21" s="26" t="str">
        <f t="shared" si="0"/>
        <v>Data Science_P30</v>
      </c>
      <c r="P21" s="26" t="s">
        <v>71</v>
      </c>
      <c r="Q21" s="26">
        <v>11</v>
      </c>
      <c r="R21" s="26">
        <v>435</v>
      </c>
      <c r="S21" s="27">
        <v>2600000</v>
      </c>
      <c r="T21" s="28">
        <v>1632896</v>
      </c>
      <c r="U21" s="28">
        <v>2332209</v>
      </c>
      <c r="V21" s="29">
        <v>2475704</v>
      </c>
      <c r="W21" s="28">
        <v>4165405</v>
      </c>
      <c r="X21" s="28">
        <v>4368431</v>
      </c>
      <c r="Y21" t="s">
        <v>72</v>
      </c>
      <c r="Z21" t="str" cm="1">
        <f t="array" ref="Z21">_xlfn.IFS(S21&lt;T21,"Less than 10",S21&lt;U21,"Bt 10 and 25",S21&lt;V21,"Between 25 and 50",S21&lt;W21,"Between 50 and 75",S21&lt;X21,"between 75 and 90",S21&gt;X21,"greater than 90")</f>
        <v>Between 50 and 75</v>
      </c>
      <c r="AA21" s="30">
        <v>2886000</v>
      </c>
      <c r="AB21" t="s">
        <v>27</v>
      </c>
    </row>
    <row r="22" spans="1:28" x14ac:dyDescent="0.35">
      <c r="A22" s="24">
        <v>72</v>
      </c>
      <c r="B22" s="24" t="s">
        <v>100</v>
      </c>
      <c r="C22" s="25" t="s">
        <v>12</v>
      </c>
      <c r="D22" s="24" t="s">
        <v>101</v>
      </c>
      <c r="E22" s="26" t="s">
        <v>64</v>
      </c>
      <c r="F22" s="26" t="s">
        <v>65</v>
      </c>
      <c r="G22" s="26" t="s">
        <v>66</v>
      </c>
      <c r="H22" s="26" t="s">
        <v>102</v>
      </c>
      <c r="I22" s="26" t="s">
        <v>103</v>
      </c>
      <c r="J22" s="26" t="s">
        <v>104</v>
      </c>
      <c r="K22" s="26" t="s">
        <v>105</v>
      </c>
      <c r="L22" s="26" t="s">
        <v>12</v>
      </c>
      <c r="M22" s="26" t="s">
        <v>105</v>
      </c>
      <c r="N22" s="26" t="s">
        <v>23</v>
      </c>
      <c r="O22" s="26" t="str">
        <f t="shared" si="0"/>
        <v>General Human Resources_M20</v>
      </c>
      <c r="P22" s="26" t="s">
        <v>89</v>
      </c>
      <c r="Q22" s="34">
        <v>6</v>
      </c>
      <c r="R22" s="34">
        <v>12</v>
      </c>
      <c r="S22" s="27">
        <v>2500000</v>
      </c>
      <c r="T22" s="34"/>
      <c r="U22" s="34">
        <v>1469169</v>
      </c>
      <c r="V22" s="29">
        <v>2809429</v>
      </c>
      <c r="W22" s="34">
        <v>3117483</v>
      </c>
      <c r="X22" s="34"/>
      <c r="Y22" t="s">
        <v>79</v>
      </c>
      <c r="Z22" s="33" t="str" cm="1">
        <f t="array" ref="Z22">_xlfn.IFS(S22&lt;U22,"Bt 10 and 25",S22&lt;V22,"Between 25 and 50",S22&lt;W22,"Between 50 and 75")</f>
        <v>Between 25 and 50</v>
      </c>
      <c r="AA22" s="30">
        <v>2775000</v>
      </c>
      <c r="AB22" s="32" t="s">
        <v>26</v>
      </c>
    </row>
    <row r="23" spans="1:28" x14ac:dyDescent="0.35">
      <c r="A23" s="24">
        <v>22</v>
      </c>
      <c r="B23" s="24" t="s">
        <v>106</v>
      </c>
      <c r="C23" s="25" t="s">
        <v>13</v>
      </c>
      <c r="D23" s="24" t="s">
        <v>74</v>
      </c>
      <c r="E23" s="26" t="s">
        <v>64</v>
      </c>
      <c r="F23" s="26" t="s">
        <v>96</v>
      </c>
      <c r="G23" s="26" t="s">
        <v>66</v>
      </c>
      <c r="H23" s="26" t="s">
        <v>75</v>
      </c>
      <c r="I23" s="26" t="s">
        <v>76</v>
      </c>
      <c r="J23" s="26" t="s">
        <v>82</v>
      </c>
      <c r="K23" s="26" t="s">
        <v>107</v>
      </c>
      <c r="L23" s="26" t="s">
        <v>13</v>
      </c>
      <c r="M23" s="26" t="s">
        <v>107</v>
      </c>
      <c r="N23" s="26" t="s">
        <v>22</v>
      </c>
      <c r="O23" s="26" t="str">
        <f t="shared" si="0"/>
        <v>Data Science_P10</v>
      </c>
      <c r="P23" s="26" t="s">
        <v>71</v>
      </c>
      <c r="Q23" s="26">
        <v>6</v>
      </c>
      <c r="R23" s="26">
        <v>189</v>
      </c>
      <c r="S23" s="27">
        <v>2472750</v>
      </c>
      <c r="T23" s="28"/>
      <c r="U23" s="28">
        <v>985302</v>
      </c>
      <c r="V23" s="29">
        <v>1310576</v>
      </c>
      <c r="W23" s="28">
        <v>1605342</v>
      </c>
      <c r="X23" s="28"/>
      <c r="Y23" t="s">
        <v>79</v>
      </c>
      <c r="Z23" s="31" t="s">
        <v>80</v>
      </c>
      <c r="AA23" s="30">
        <v>2744752.5</v>
      </c>
      <c r="AB23" s="32" t="s">
        <v>28</v>
      </c>
    </row>
    <row r="24" spans="1:28" x14ac:dyDescent="0.35">
      <c r="A24" s="24">
        <v>26</v>
      </c>
      <c r="B24" s="24" t="s">
        <v>106</v>
      </c>
      <c r="C24" s="25" t="s">
        <v>13</v>
      </c>
      <c r="D24" s="24" t="s">
        <v>74</v>
      </c>
      <c r="E24" s="26" t="s">
        <v>64</v>
      </c>
      <c r="F24" s="26" t="s">
        <v>96</v>
      </c>
      <c r="G24" s="26" t="s">
        <v>66</v>
      </c>
      <c r="H24" s="26" t="s">
        <v>75</v>
      </c>
      <c r="I24" s="26" t="s">
        <v>76</v>
      </c>
      <c r="J24" s="26" t="s">
        <v>82</v>
      </c>
      <c r="K24" s="26" t="s">
        <v>107</v>
      </c>
      <c r="L24" s="26" t="s">
        <v>13</v>
      </c>
      <c r="M24" s="26" t="s">
        <v>107</v>
      </c>
      <c r="N24" s="26" t="s">
        <v>22</v>
      </c>
      <c r="O24" s="26" t="str">
        <f t="shared" si="0"/>
        <v>Data Science_P10</v>
      </c>
      <c r="P24" s="26" t="s">
        <v>71</v>
      </c>
      <c r="Q24" s="26">
        <v>6</v>
      </c>
      <c r="R24" s="26">
        <v>189</v>
      </c>
      <c r="S24" s="27">
        <v>2393377.2000000002</v>
      </c>
      <c r="T24" s="28"/>
      <c r="U24" s="28">
        <v>985302</v>
      </c>
      <c r="V24" s="29">
        <v>1310576</v>
      </c>
      <c r="W24" s="28">
        <v>1605342</v>
      </c>
      <c r="X24" s="28"/>
      <c r="Y24" t="s">
        <v>72</v>
      </c>
      <c r="Z24" s="31" t="s">
        <v>80</v>
      </c>
      <c r="AA24" s="30">
        <v>2656647.9000000004</v>
      </c>
      <c r="AB24" s="32" t="s">
        <v>28</v>
      </c>
    </row>
    <row r="25" spans="1:28" x14ac:dyDescent="0.35">
      <c r="A25" s="24">
        <v>29</v>
      </c>
      <c r="B25" s="24" t="s">
        <v>106</v>
      </c>
      <c r="C25" s="25" t="s">
        <v>13</v>
      </c>
      <c r="D25" s="24" t="s">
        <v>74</v>
      </c>
      <c r="E25" s="26" t="s">
        <v>64</v>
      </c>
      <c r="F25" s="26" t="s">
        <v>96</v>
      </c>
      <c r="G25" s="26" t="s">
        <v>66</v>
      </c>
      <c r="H25" s="26" t="s">
        <v>75</v>
      </c>
      <c r="I25" s="26" t="s">
        <v>76</v>
      </c>
      <c r="J25" s="26" t="s">
        <v>82</v>
      </c>
      <c r="K25" s="26" t="s">
        <v>107</v>
      </c>
      <c r="L25" s="26" t="s">
        <v>13</v>
      </c>
      <c r="M25" s="26" t="s">
        <v>107</v>
      </c>
      <c r="N25" s="26" t="s">
        <v>22</v>
      </c>
      <c r="O25" s="26" t="str">
        <f t="shared" si="0"/>
        <v>Data Science_P10</v>
      </c>
      <c r="P25" s="26" t="s">
        <v>71</v>
      </c>
      <c r="Q25" s="26">
        <v>6</v>
      </c>
      <c r="R25" s="26">
        <v>189</v>
      </c>
      <c r="S25" s="27">
        <v>2365869.6</v>
      </c>
      <c r="T25" s="28"/>
      <c r="U25" s="28">
        <v>985302</v>
      </c>
      <c r="V25" s="29">
        <v>1310576</v>
      </c>
      <c r="W25" s="28">
        <v>1605342</v>
      </c>
      <c r="X25" s="28"/>
      <c r="Y25" t="s">
        <v>72</v>
      </c>
      <c r="Z25" s="31" t="s">
        <v>80</v>
      </c>
      <c r="AA25" s="30">
        <v>2626114.2000000002</v>
      </c>
      <c r="AB25" s="32" t="s">
        <v>28</v>
      </c>
    </row>
    <row r="26" spans="1:28" x14ac:dyDescent="0.35">
      <c r="A26" s="24">
        <v>104</v>
      </c>
      <c r="B26" s="24" t="s">
        <v>108</v>
      </c>
      <c r="C26" s="25" t="s">
        <v>12</v>
      </c>
      <c r="D26" s="24" t="s">
        <v>74</v>
      </c>
      <c r="E26" s="26" t="s">
        <v>64</v>
      </c>
      <c r="F26" s="26" t="s">
        <v>96</v>
      </c>
      <c r="G26" s="26" t="s">
        <v>66</v>
      </c>
      <c r="H26" s="26" t="s">
        <v>75</v>
      </c>
      <c r="I26" s="26" t="s">
        <v>76</v>
      </c>
      <c r="J26" s="26" t="s">
        <v>77</v>
      </c>
      <c r="K26" s="26" t="s">
        <v>97</v>
      </c>
      <c r="L26" s="26" t="s">
        <v>12</v>
      </c>
      <c r="M26" s="26" t="s">
        <v>97</v>
      </c>
      <c r="N26" s="26" t="s">
        <v>22</v>
      </c>
      <c r="O26" s="26" t="str">
        <f t="shared" si="0"/>
        <v>Business Intelligence (BI) Data Analysis_P30</v>
      </c>
      <c r="P26" s="26" t="s">
        <v>71</v>
      </c>
      <c r="Q26" s="26">
        <v>8</v>
      </c>
      <c r="R26" s="26">
        <v>1318</v>
      </c>
      <c r="S26" s="27">
        <v>2349998</v>
      </c>
      <c r="T26" s="28"/>
      <c r="U26" s="28">
        <v>1744082</v>
      </c>
      <c r="V26" s="29">
        <v>2102305</v>
      </c>
      <c r="W26" s="28">
        <v>3420111</v>
      </c>
      <c r="X26" s="28"/>
      <c r="Y26" t="s">
        <v>79</v>
      </c>
      <c r="Z26" s="33" t="str" cm="1">
        <f t="array" ref="Z26">_xlfn.IFS(S26&lt;U26,"Bt 10 and 25",S26&lt;V26,"Between 25 and 50",S26&lt;W26,"Between 50 and 75")</f>
        <v>Between 50 and 75</v>
      </c>
      <c r="AA26" s="30">
        <v>2608498</v>
      </c>
      <c r="AB26" s="32" t="s">
        <v>27</v>
      </c>
    </row>
    <row r="27" spans="1:28" x14ac:dyDescent="0.35">
      <c r="A27" s="24">
        <v>11</v>
      </c>
      <c r="B27" s="24" t="s">
        <v>109</v>
      </c>
      <c r="C27" s="25" t="s">
        <v>13</v>
      </c>
      <c r="D27" s="24" t="s">
        <v>74</v>
      </c>
      <c r="E27" s="26" t="s">
        <v>64</v>
      </c>
      <c r="F27" s="26" t="s">
        <v>96</v>
      </c>
      <c r="G27" s="26" t="s">
        <v>66</v>
      </c>
      <c r="H27" s="26" t="s">
        <v>75</v>
      </c>
      <c r="I27" s="26" t="s">
        <v>76</v>
      </c>
      <c r="J27" s="26" t="s">
        <v>77</v>
      </c>
      <c r="K27" s="26" t="s">
        <v>107</v>
      </c>
      <c r="L27" s="26" t="s">
        <v>13</v>
      </c>
      <c r="M27" s="26" t="s">
        <v>107</v>
      </c>
      <c r="N27" s="26" t="s">
        <v>22</v>
      </c>
      <c r="O27" s="26" t="str">
        <f t="shared" si="0"/>
        <v>Business Intelligence (BI) Data Analysis_P10</v>
      </c>
      <c r="P27" s="26" t="s">
        <v>71</v>
      </c>
      <c r="Q27" s="26">
        <v>4</v>
      </c>
      <c r="R27" s="26">
        <v>774</v>
      </c>
      <c r="S27" s="27">
        <v>2302087.8267999999</v>
      </c>
      <c r="T27" s="28"/>
      <c r="U27" s="28"/>
      <c r="V27" s="29">
        <v>776839</v>
      </c>
      <c r="W27" s="28"/>
      <c r="X27" s="28"/>
      <c r="Y27" t="s">
        <v>72</v>
      </c>
      <c r="Z27" s="31" t="s">
        <v>80</v>
      </c>
      <c r="AA27" s="30">
        <v>2555315.5268000001</v>
      </c>
    </row>
    <row r="28" spans="1:28" x14ac:dyDescent="0.35">
      <c r="A28" s="24">
        <v>24</v>
      </c>
      <c r="B28" s="24" t="s">
        <v>106</v>
      </c>
      <c r="C28" s="25" t="s">
        <v>13</v>
      </c>
      <c r="D28" s="24" t="s">
        <v>74</v>
      </c>
      <c r="E28" s="26" t="s">
        <v>64</v>
      </c>
      <c r="F28" s="26" t="s">
        <v>96</v>
      </c>
      <c r="G28" s="26" t="s">
        <v>66</v>
      </c>
      <c r="H28" s="26" t="s">
        <v>75</v>
      </c>
      <c r="I28" s="26" t="s">
        <v>76</v>
      </c>
      <c r="J28" s="26" t="s">
        <v>82</v>
      </c>
      <c r="K28" s="26" t="s">
        <v>107</v>
      </c>
      <c r="L28" s="26" t="s">
        <v>13</v>
      </c>
      <c r="M28" s="26" t="s">
        <v>107</v>
      </c>
      <c r="N28" s="26" t="s">
        <v>22</v>
      </c>
      <c r="O28" s="26" t="str">
        <f t="shared" si="0"/>
        <v>Data Science_P10</v>
      </c>
      <c r="P28" s="26" t="s">
        <v>71</v>
      </c>
      <c r="Q28" s="26">
        <v>6</v>
      </c>
      <c r="R28" s="26">
        <v>189</v>
      </c>
      <c r="S28" s="27">
        <v>2299608.3848000001</v>
      </c>
      <c r="T28" s="28"/>
      <c r="U28" s="28">
        <v>985302</v>
      </c>
      <c r="V28" s="29">
        <v>1310576</v>
      </c>
      <c r="W28" s="28">
        <v>1605342</v>
      </c>
      <c r="X28" s="28"/>
      <c r="Y28" t="s">
        <v>72</v>
      </c>
      <c r="Z28" s="31" t="s">
        <v>80</v>
      </c>
      <c r="AA28" s="30">
        <v>2552564.3848000001</v>
      </c>
      <c r="AB28" s="32" t="s">
        <v>28</v>
      </c>
    </row>
    <row r="29" spans="1:28" x14ac:dyDescent="0.35">
      <c r="A29" s="24">
        <v>10</v>
      </c>
      <c r="B29" s="24" t="s">
        <v>106</v>
      </c>
      <c r="C29" s="25" t="s">
        <v>13</v>
      </c>
      <c r="D29" s="24" t="s">
        <v>74</v>
      </c>
      <c r="E29" s="26" t="s">
        <v>64</v>
      </c>
      <c r="F29" s="26" t="s">
        <v>96</v>
      </c>
      <c r="G29" s="26" t="s">
        <v>66</v>
      </c>
      <c r="H29" s="26" t="s">
        <v>75</v>
      </c>
      <c r="I29" s="26" t="s">
        <v>76</v>
      </c>
      <c r="J29" s="26" t="s">
        <v>82</v>
      </c>
      <c r="K29" s="26" t="s">
        <v>107</v>
      </c>
      <c r="L29" s="26" t="s">
        <v>13</v>
      </c>
      <c r="M29" s="26" t="s">
        <v>107</v>
      </c>
      <c r="N29" s="26" t="s">
        <v>22</v>
      </c>
      <c r="O29" s="26" t="str">
        <f t="shared" si="0"/>
        <v>Data Science_P10</v>
      </c>
      <c r="P29" s="26" t="s">
        <v>71</v>
      </c>
      <c r="Q29" s="26">
        <v>6</v>
      </c>
      <c r="R29" s="26">
        <v>189</v>
      </c>
      <c r="S29" s="27">
        <v>2244610.1039999998</v>
      </c>
      <c r="T29" s="28"/>
      <c r="U29" s="28">
        <v>985302</v>
      </c>
      <c r="V29" s="29">
        <v>1310576</v>
      </c>
      <c r="W29" s="28">
        <v>1605342</v>
      </c>
      <c r="X29" s="28"/>
      <c r="Y29" t="s">
        <v>79</v>
      </c>
      <c r="Z29" s="31" t="s">
        <v>80</v>
      </c>
      <c r="AA29" s="30">
        <v>2491516.1039999998</v>
      </c>
      <c r="AB29" s="32" t="s">
        <v>28</v>
      </c>
    </row>
    <row r="30" spans="1:28" x14ac:dyDescent="0.35">
      <c r="A30" s="24">
        <v>13</v>
      </c>
      <c r="B30" s="24" t="s">
        <v>106</v>
      </c>
      <c r="C30" s="25" t="s">
        <v>13</v>
      </c>
      <c r="D30" s="24" t="s">
        <v>74</v>
      </c>
      <c r="E30" s="26" t="s">
        <v>64</v>
      </c>
      <c r="F30" s="26" t="s">
        <v>96</v>
      </c>
      <c r="G30" s="26" t="s">
        <v>66</v>
      </c>
      <c r="H30" s="26" t="s">
        <v>75</v>
      </c>
      <c r="I30" s="26" t="s">
        <v>76</v>
      </c>
      <c r="J30" s="26" t="s">
        <v>82</v>
      </c>
      <c r="K30" s="26" t="s">
        <v>107</v>
      </c>
      <c r="L30" s="26" t="s">
        <v>13</v>
      </c>
      <c r="M30" s="26" t="s">
        <v>107</v>
      </c>
      <c r="N30" s="26" t="s">
        <v>22</v>
      </c>
      <c r="O30" s="26" t="str">
        <f t="shared" si="0"/>
        <v>Data Science_P10</v>
      </c>
      <c r="P30" s="26" t="s">
        <v>71</v>
      </c>
      <c r="Q30" s="26">
        <v>6</v>
      </c>
      <c r="R30" s="26">
        <v>189</v>
      </c>
      <c r="S30" s="27">
        <v>2211628.7199999997</v>
      </c>
      <c r="T30" s="28"/>
      <c r="U30" s="28">
        <v>985302</v>
      </c>
      <c r="V30" s="29">
        <v>1310576</v>
      </c>
      <c r="W30" s="28">
        <v>1605342</v>
      </c>
      <c r="X30" s="28"/>
      <c r="Y30" t="s">
        <v>72</v>
      </c>
      <c r="Z30" s="31" t="s">
        <v>80</v>
      </c>
      <c r="AA30" s="30">
        <v>2454907.1399999997</v>
      </c>
      <c r="AB30" s="32" t="s">
        <v>28</v>
      </c>
    </row>
    <row r="31" spans="1:28" x14ac:dyDescent="0.35">
      <c r="A31" s="24">
        <v>17</v>
      </c>
      <c r="B31" s="24" t="s">
        <v>99</v>
      </c>
      <c r="C31" s="25" t="s">
        <v>12</v>
      </c>
      <c r="D31" s="24" t="s">
        <v>74</v>
      </c>
      <c r="E31" s="26" t="s">
        <v>64</v>
      </c>
      <c r="F31" s="26" t="s">
        <v>96</v>
      </c>
      <c r="G31" s="26" t="s">
        <v>66</v>
      </c>
      <c r="H31" s="26" t="s">
        <v>75</v>
      </c>
      <c r="I31" s="26" t="s">
        <v>76</v>
      </c>
      <c r="J31" s="26" t="s">
        <v>77</v>
      </c>
      <c r="K31" s="26" t="s">
        <v>97</v>
      </c>
      <c r="L31" s="26" t="s">
        <v>12</v>
      </c>
      <c r="M31" s="26" t="s">
        <v>97</v>
      </c>
      <c r="N31" s="26" t="s">
        <v>22</v>
      </c>
      <c r="O31" s="26" t="str">
        <f t="shared" si="0"/>
        <v>Business Intelligence (BI) Data Analysis_P30</v>
      </c>
      <c r="P31" s="26" t="s">
        <v>71</v>
      </c>
      <c r="Q31" s="26">
        <v>8</v>
      </c>
      <c r="R31" s="26">
        <v>1318</v>
      </c>
      <c r="S31" s="27">
        <v>2207617.6224799999</v>
      </c>
      <c r="T31" s="28"/>
      <c r="U31" s="28">
        <v>1744082</v>
      </c>
      <c r="V31" s="29">
        <v>2102305</v>
      </c>
      <c r="W31" s="28">
        <v>3420111</v>
      </c>
      <c r="X31" s="28"/>
      <c r="Y31" t="s">
        <v>72</v>
      </c>
      <c r="Z31" s="33" t="str" cm="1">
        <f t="array" ref="Z31">_xlfn.IFS(S31&lt;U31,"Bt 10 and 25",S31&lt;V31,"Between 25 and 50",S31&lt;W31,"Between 50 and 75")</f>
        <v>Between 50 and 75</v>
      </c>
      <c r="AA31" s="30">
        <v>2466293.8424800001</v>
      </c>
      <c r="AB31" s="32" t="s">
        <v>27</v>
      </c>
    </row>
    <row r="32" spans="1:28" x14ac:dyDescent="0.35">
      <c r="A32" s="24">
        <v>48</v>
      </c>
      <c r="B32" s="24" t="s">
        <v>110</v>
      </c>
      <c r="C32" s="25" t="s">
        <v>12</v>
      </c>
      <c r="D32" s="24" t="s">
        <v>111</v>
      </c>
      <c r="E32" s="26" t="s">
        <v>64</v>
      </c>
      <c r="F32" s="26" t="s">
        <v>96</v>
      </c>
      <c r="G32" s="26" t="s">
        <v>66</v>
      </c>
      <c r="H32" s="26" t="s">
        <v>112</v>
      </c>
      <c r="I32" s="26" t="s">
        <v>113</v>
      </c>
      <c r="J32" s="26" t="s">
        <v>114</v>
      </c>
      <c r="K32" s="26" t="s">
        <v>97</v>
      </c>
      <c r="L32" s="26" t="s">
        <v>12</v>
      </c>
      <c r="M32" s="26" t="s">
        <v>97</v>
      </c>
      <c r="N32" s="26" t="s">
        <v>22</v>
      </c>
      <c r="O32" s="26" t="str">
        <f t="shared" si="0"/>
        <v>Software Development Engineering (High Tech)_P30</v>
      </c>
      <c r="P32" s="26" t="s">
        <v>71</v>
      </c>
      <c r="Q32" s="26">
        <v>33</v>
      </c>
      <c r="R32" s="26">
        <v>19252</v>
      </c>
      <c r="S32" s="27">
        <v>2196414.1608000002</v>
      </c>
      <c r="T32" s="28">
        <v>1582021</v>
      </c>
      <c r="U32" s="28">
        <v>1890006</v>
      </c>
      <c r="V32" s="29">
        <v>2318709</v>
      </c>
      <c r="W32" s="28">
        <v>2619448</v>
      </c>
      <c r="X32" s="28">
        <v>3478990</v>
      </c>
      <c r="Y32" t="s">
        <v>72</v>
      </c>
      <c r="Z32" t="str" cm="1">
        <f t="array" ref="Z32">_xlfn.IFS(S32&lt;T32,"Less than 10",S32&lt;U32,"Bt 10 and 25",S32&lt;V32,"Between 25 and 50",S32&lt;W32,"Between 50 and 75",S32&lt;X32,"between 75 and 90",S32&gt;X32,"greater than 90")</f>
        <v>Between 25 and 50</v>
      </c>
      <c r="AA32" s="30">
        <v>2438017.7208000002</v>
      </c>
      <c r="AB32" t="s">
        <v>26</v>
      </c>
    </row>
    <row r="33" spans="1:28" x14ac:dyDescent="0.35">
      <c r="A33" s="24">
        <v>92</v>
      </c>
      <c r="B33" s="24" t="s">
        <v>115</v>
      </c>
      <c r="C33" s="25" t="s">
        <v>13</v>
      </c>
      <c r="D33" s="24" t="s">
        <v>74</v>
      </c>
      <c r="E33" s="26" t="s">
        <v>64</v>
      </c>
      <c r="F33" s="26" t="s">
        <v>96</v>
      </c>
      <c r="G33" s="26" t="s">
        <v>66</v>
      </c>
      <c r="H33" s="26" t="s">
        <v>67</v>
      </c>
      <c r="I33" s="26" t="s">
        <v>68</v>
      </c>
      <c r="J33" s="26" t="s">
        <v>115</v>
      </c>
      <c r="K33" s="26" t="s">
        <v>107</v>
      </c>
      <c r="L33" s="26" t="s">
        <v>13</v>
      </c>
      <c r="M33" s="26" t="s">
        <v>107</v>
      </c>
      <c r="N33" s="26" t="s">
        <v>22</v>
      </c>
      <c r="O33" s="26" t="str">
        <f t="shared" si="0"/>
        <v>Scrum Master_P10</v>
      </c>
      <c r="P33" s="26" t="s">
        <v>71</v>
      </c>
      <c r="Q33" s="26" t="s">
        <v>80</v>
      </c>
      <c r="R33" s="26" t="s">
        <v>80</v>
      </c>
      <c r="S33" s="27">
        <v>2175675.9870000002</v>
      </c>
      <c r="T33" s="28"/>
      <c r="U33" s="28"/>
      <c r="V33" s="29"/>
      <c r="W33" s="28"/>
      <c r="X33" s="28"/>
      <c r="Y33" t="s">
        <v>72</v>
      </c>
      <c r="Z33" s="31" t="s">
        <v>80</v>
      </c>
      <c r="AA33" s="30">
        <v>2414999.9870000002</v>
      </c>
    </row>
    <row r="34" spans="1:28" x14ac:dyDescent="0.35">
      <c r="A34" s="24">
        <v>106</v>
      </c>
      <c r="B34" s="24" t="s">
        <v>116</v>
      </c>
      <c r="C34" s="25" t="s">
        <v>15</v>
      </c>
      <c r="D34" s="24" t="s">
        <v>111</v>
      </c>
      <c r="E34" s="26" t="s">
        <v>64</v>
      </c>
      <c r="F34" s="26" t="s">
        <v>65</v>
      </c>
      <c r="G34" s="26" t="s">
        <v>66</v>
      </c>
      <c r="H34" s="26" t="s">
        <v>117</v>
      </c>
      <c r="I34" s="26" t="s">
        <v>118</v>
      </c>
      <c r="J34" s="26" t="s">
        <v>119</v>
      </c>
      <c r="K34" s="26" t="s">
        <v>105</v>
      </c>
      <c r="L34" s="26" t="s">
        <v>12</v>
      </c>
      <c r="M34" s="26" t="s">
        <v>105</v>
      </c>
      <c r="N34" s="26" t="s">
        <v>23</v>
      </c>
      <c r="O34" s="26" t="str">
        <f t="shared" si="0"/>
        <v>Supply Chain Planning (Outsourcing &amp; Global Capability Centers)_M20</v>
      </c>
      <c r="P34" s="26" t="s">
        <v>120</v>
      </c>
      <c r="Q34" s="34">
        <v>11</v>
      </c>
      <c r="R34" s="34">
        <v>142</v>
      </c>
      <c r="S34" s="27">
        <v>2081079.9791999999</v>
      </c>
      <c r="T34" s="34">
        <v>1492433</v>
      </c>
      <c r="U34" s="34">
        <v>1785280</v>
      </c>
      <c r="V34" s="29">
        <v>2640848</v>
      </c>
      <c r="W34" s="34">
        <v>3053579</v>
      </c>
      <c r="X34" s="34">
        <v>3241976</v>
      </c>
      <c r="Y34" t="s">
        <v>72</v>
      </c>
      <c r="Z34" t="str" cm="1">
        <f t="array" ref="Z34">_xlfn.IFS(S34&lt;T34,"Less than 10",S34&lt;U34,"Bt 10 and 25",S34&lt;V34,"Between 25 and 50",S34&lt;W34,"Between 50 and 75",S34&lt;X34,"between 75 and 90",S34&gt;X34,"greater than 90")</f>
        <v>Between 25 and 50</v>
      </c>
      <c r="AA34" s="30">
        <v>2309999.9791999999</v>
      </c>
      <c r="AB34" t="s">
        <v>26</v>
      </c>
    </row>
    <row r="35" spans="1:28" x14ac:dyDescent="0.35">
      <c r="A35" s="24">
        <v>20</v>
      </c>
      <c r="B35" s="24" t="s">
        <v>106</v>
      </c>
      <c r="C35" s="25" t="s">
        <v>13</v>
      </c>
      <c r="D35" s="24" t="s">
        <v>74</v>
      </c>
      <c r="E35" s="26" t="s">
        <v>64</v>
      </c>
      <c r="F35" s="26" t="s">
        <v>96</v>
      </c>
      <c r="G35" s="26" t="s">
        <v>66</v>
      </c>
      <c r="H35" s="26" t="s">
        <v>75</v>
      </c>
      <c r="I35" s="26" t="s">
        <v>76</v>
      </c>
      <c r="J35" s="26" t="s">
        <v>82</v>
      </c>
      <c r="K35" s="26" t="s">
        <v>107</v>
      </c>
      <c r="L35" s="26" t="s">
        <v>13</v>
      </c>
      <c r="M35" s="26" t="s">
        <v>107</v>
      </c>
      <c r="N35" s="26" t="s">
        <v>22</v>
      </c>
      <c r="O35" s="26" t="str">
        <f t="shared" si="0"/>
        <v>Data Science_P10</v>
      </c>
      <c r="P35" s="26" t="s">
        <v>71</v>
      </c>
      <c r="Q35" s="26">
        <v>6</v>
      </c>
      <c r="R35" s="26">
        <v>189</v>
      </c>
      <c r="S35" s="27">
        <v>2068390.8311999999</v>
      </c>
      <c r="T35" s="28"/>
      <c r="U35" s="28">
        <v>985302</v>
      </c>
      <c r="V35" s="29">
        <v>1310576</v>
      </c>
      <c r="W35" s="28">
        <v>1605342</v>
      </c>
      <c r="X35" s="28"/>
      <c r="Y35" t="s">
        <v>72</v>
      </c>
      <c r="Z35" s="31" t="s">
        <v>80</v>
      </c>
      <c r="AA35" s="30">
        <v>2295912.6312000002</v>
      </c>
      <c r="AB35" s="32" t="s">
        <v>28</v>
      </c>
    </row>
    <row r="36" spans="1:28" x14ac:dyDescent="0.35">
      <c r="A36" s="24">
        <v>60</v>
      </c>
      <c r="B36" s="24" t="s">
        <v>106</v>
      </c>
      <c r="C36" s="25" t="s">
        <v>13</v>
      </c>
      <c r="D36" s="24" t="s">
        <v>74</v>
      </c>
      <c r="E36" s="26" t="s">
        <v>64</v>
      </c>
      <c r="F36" s="26" t="s">
        <v>96</v>
      </c>
      <c r="G36" s="26" t="s">
        <v>66</v>
      </c>
      <c r="H36" s="26" t="s">
        <v>75</v>
      </c>
      <c r="I36" s="26" t="s">
        <v>76</v>
      </c>
      <c r="J36" s="26" t="s">
        <v>82</v>
      </c>
      <c r="K36" s="26" t="s">
        <v>107</v>
      </c>
      <c r="L36" s="26" t="s">
        <v>13</v>
      </c>
      <c r="M36" s="26" t="s">
        <v>107</v>
      </c>
      <c r="N36" s="26" t="s">
        <v>22</v>
      </c>
      <c r="O36" s="26" t="str">
        <f t="shared" si="0"/>
        <v>Data Science_P10</v>
      </c>
      <c r="P36" s="26" t="s">
        <v>71</v>
      </c>
      <c r="Q36" s="26">
        <v>6</v>
      </c>
      <c r="R36" s="26">
        <v>189</v>
      </c>
      <c r="S36" s="27">
        <v>2035000.4</v>
      </c>
      <c r="T36" s="28"/>
      <c r="U36" s="28">
        <v>985302</v>
      </c>
      <c r="V36" s="29">
        <v>1310576</v>
      </c>
      <c r="W36" s="28">
        <v>1605342</v>
      </c>
      <c r="X36" s="28"/>
      <c r="Y36" t="s">
        <v>79</v>
      </c>
      <c r="Z36" s="31" t="s">
        <v>80</v>
      </c>
      <c r="AA36" s="30">
        <v>2258850.4</v>
      </c>
      <c r="AB36" s="32" t="s">
        <v>28</v>
      </c>
    </row>
    <row r="37" spans="1:28" x14ac:dyDescent="0.35">
      <c r="A37" s="24">
        <v>12</v>
      </c>
      <c r="B37" s="24" t="s">
        <v>106</v>
      </c>
      <c r="C37" s="25" t="s">
        <v>13</v>
      </c>
      <c r="D37" s="24" t="s">
        <v>74</v>
      </c>
      <c r="E37" s="26" t="s">
        <v>64</v>
      </c>
      <c r="F37" s="26" t="s">
        <v>96</v>
      </c>
      <c r="G37" s="26" t="s">
        <v>66</v>
      </c>
      <c r="H37" s="26" t="s">
        <v>75</v>
      </c>
      <c r="I37" s="26" t="s">
        <v>76</v>
      </c>
      <c r="J37" s="26" t="s">
        <v>82</v>
      </c>
      <c r="K37" s="26" t="s">
        <v>107</v>
      </c>
      <c r="L37" s="26" t="s">
        <v>13</v>
      </c>
      <c r="M37" s="26" t="s">
        <v>107</v>
      </c>
      <c r="N37" s="26" t="s">
        <v>22</v>
      </c>
      <c r="O37" s="26" t="str">
        <f t="shared" si="0"/>
        <v>Data Science_P10</v>
      </c>
      <c r="P37" s="26" t="s">
        <v>71</v>
      </c>
      <c r="Q37" s="26">
        <v>6</v>
      </c>
      <c r="R37" s="26">
        <v>189</v>
      </c>
      <c r="S37" s="27">
        <v>2005488</v>
      </c>
      <c r="T37" s="28"/>
      <c r="U37" s="28">
        <v>985302</v>
      </c>
      <c r="V37" s="29">
        <v>1310576</v>
      </c>
      <c r="W37" s="28">
        <v>1605342</v>
      </c>
      <c r="X37" s="28"/>
      <c r="Y37" t="s">
        <v>72</v>
      </c>
      <c r="Z37" s="31" t="s">
        <v>80</v>
      </c>
      <c r="AA37" s="30">
        <v>2235283.5000000005</v>
      </c>
      <c r="AB37" s="32" t="s">
        <v>28</v>
      </c>
    </row>
    <row r="38" spans="1:28" x14ac:dyDescent="0.35">
      <c r="A38" s="24">
        <v>6</v>
      </c>
      <c r="B38" s="24" t="s">
        <v>109</v>
      </c>
      <c r="C38" s="25" t="s">
        <v>13</v>
      </c>
      <c r="D38" s="24" t="s">
        <v>74</v>
      </c>
      <c r="E38" s="26" t="s">
        <v>64</v>
      </c>
      <c r="F38" s="26" t="s">
        <v>96</v>
      </c>
      <c r="G38" s="26" t="s">
        <v>66</v>
      </c>
      <c r="H38" s="26" t="s">
        <v>75</v>
      </c>
      <c r="I38" s="26" t="s">
        <v>76</v>
      </c>
      <c r="J38" s="26" t="s">
        <v>77</v>
      </c>
      <c r="K38" s="26" t="s">
        <v>107</v>
      </c>
      <c r="L38" s="26" t="s">
        <v>13</v>
      </c>
      <c r="M38" s="26" t="s">
        <v>107</v>
      </c>
      <c r="N38" s="26" t="s">
        <v>22</v>
      </c>
      <c r="O38" s="26" t="str">
        <f t="shared" si="0"/>
        <v>Business Intelligence (BI) Data Analysis_P10</v>
      </c>
      <c r="P38" s="26" t="s">
        <v>71</v>
      </c>
      <c r="Q38" s="26">
        <v>4</v>
      </c>
      <c r="R38" s="26">
        <v>774</v>
      </c>
      <c r="S38" s="27">
        <v>1984407.8559999999</v>
      </c>
      <c r="T38" s="28"/>
      <c r="U38" s="28"/>
      <c r="V38" s="29">
        <v>776839</v>
      </c>
      <c r="W38" s="28"/>
      <c r="X38" s="28"/>
      <c r="Y38" t="s">
        <v>79</v>
      </c>
      <c r="Z38" s="31" t="s">
        <v>80</v>
      </c>
      <c r="AA38" s="30">
        <v>2202691.8560000001</v>
      </c>
    </row>
    <row r="39" spans="1:28" x14ac:dyDescent="0.35">
      <c r="A39" s="24">
        <v>38</v>
      </c>
      <c r="B39" s="24" t="s">
        <v>121</v>
      </c>
      <c r="C39" s="25" t="s">
        <v>13</v>
      </c>
      <c r="D39" s="24" t="s">
        <v>111</v>
      </c>
      <c r="E39" s="26" t="s">
        <v>64</v>
      </c>
      <c r="F39" s="26" t="s">
        <v>96</v>
      </c>
      <c r="G39" s="26" t="s">
        <v>66</v>
      </c>
      <c r="H39" s="26" t="s">
        <v>75</v>
      </c>
      <c r="I39" s="26" t="s">
        <v>76</v>
      </c>
      <c r="J39" s="26" t="s">
        <v>82</v>
      </c>
      <c r="K39" s="26" t="s">
        <v>107</v>
      </c>
      <c r="L39" s="26" t="s">
        <v>13</v>
      </c>
      <c r="M39" s="26" t="s">
        <v>107</v>
      </c>
      <c r="N39" s="26" t="s">
        <v>22</v>
      </c>
      <c r="O39" s="26" t="str">
        <f t="shared" si="0"/>
        <v>Data Science_P10</v>
      </c>
      <c r="P39" s="26" t="s">
        <v>71</v>
      </c>
      <c r="Q39" s="26">
        <v>6</v>
      </c>
      <c r="R39" s="26">
        <v>189</v>
      </c>
      <c r="S39" s="27">
        <v>1954594.56</v>
      </c>
      <c r="T39" s="28"/>
      <c r="U39" s="28">
        <v>985302</v>
      </c>
      <c r="V39" s="29">
        <v>1310576</v>
      </c>
      <c r="W39" s="28">
        <v>1605342</v>
      </c>
      <c r="X39" s="28"/>
      <c r="Y39" t="s">
        <v>79</v>
      </c>
      <c r="Z39" s="31" t="s">
        <v>80</v>
      </c>
      <c r="AA39" s="30">
        <v>2178558.5200000005</v>
      </c>
      <c r="AB39" s="32" t="s">
        <v>28</v>
      </c>
    </row>
    <row r="40" spans="1:28" x14ac:dyDescent="0.35">
      <c r="A40" s="24">
        <v>32</v>
      </c>
      <c r="B40" s="24" t="s">
        <v>122</v>
      </c>
      <c r="C40" s="25" t="s">
        <v>13</v>
      </c>
      <c r="D40" s="24" t="s">
        <v>74</v>
      </c>
      <c r="E40" s="26" t="s">
        <v>64</v>
      </c>
      <c r="F40" s="26" t="s">
        <v>96</v>
      </c>
      <c r="G40" s="26" t="s">
        <v>66</v>
      </c>
      <c r="H40" s="26" t="s">
        <v>75</v>
      </c>
      <c r="I40" s="26" t="s">
        <v>76</v>
      </c>
      <c r="J40" s="26" t="s">
        <v>77</v>
      </c>
      <c r="K40" s="26" t="s">
        <v>107</v>
      </c>
      <c r="L40" s="26" t="s">
        <v>13</v>
      </c>
      <c r="M40" s="26" t="s">
        <v>107</v>
      </c>
      <c r="N40" s="26" t="s">
        <v>22</v>
      </c>
      <c r="O40" s="26" t="str">
        <f t="shared" si="0"/>
        <v>Business Intelligence (BI) Data Analysis_P10</v>
      </c>
      <c r="P40" s="26" t="s">
        <v>71</v>
      </c>
      <c r="Q40" s="26">
        <v>4</v>
      </c>
      <c r="R40" s="26">
        <v>774</v>
      </c>
      <c r="S40" s="27">
        <v>1894888.9999999998</v>
      </c>
      <c r="T40" s="28"/>
      <c r="U40" s="28"/>
      <c r="V40" s="29">
        <v>776839</v>
      </c>
      <c r="W40" s="28"/>
      <c r="X40" s="28"/>
      <c r="Y40" t="s">
        <v>72</v>
      </c>
      <c r="Z40" s="31" t="s">
        <v>80</v>
      </c>
      <c r="AA40" s="30">
        <v>2103326.7899999996</v>
      </c>
    </row>
    <row r="41" spans="1:28" x14ac:dyDescent="0.35">
      <c r="A41" s="24">
        <v>8</v>
      </c>
      <c r="B41" s="24" t="s">
        <v>106</v>
      </c>
      <c r="C41" s="25" t="s">
        <v>13</v>
      </c>
      <c r="D41" s="24" t="s">
        <v>74</v>
      </c>
      <c r="E41" s="26" t="s">
        <v>64</v>
      </c>
      <c r="F41" s="26" t="s">
        <v>96</v>
      </c>
      <c r="G41" s="26" t="s">
        <v>66</v>
      </c>
      <c r="H41" s="26" t="s">
        <v>75</v>
      </c>
      <c r="I41" s="26" t="s">
        <v>76</v>
      </c>
      <c r="J41" s="26" t="s">
        <v>82</v>
      </c>
      <c r="K41" s="26" t="s">
        <v>107</v>
      </c>
      <c r="L41" s="26" t="s">
        <v>13</v>
      </c>
      <c r="M41" s="26" t="s">
        <v>107</v>
      </c>
      <c r="N41" s="26" t="s">
        <v>22</v>
      </c>
      <c r="O41" s="26" t="str">
        <f t="shared" si="0"/>
        <v>Data Science_P10</v>
      </c>
      <c r="P41" s="26" t="s">
        <v>71</v>
      </c>
      <c r="Q41" s="26">
        <v>6</v>
      </c>
      <c r="R41" s="26">
        <v>189</v>
      </c>
      <c r="S41" s="27">
        <v>1889513.4048000001</v>
      </c>
      <c r="T41" s="28"/>
      <c r="U41" s="28">
        <v>985302</v>
      </c>
      <c r="V41" s="29">
        <v>1310576</v>
      </c>
      <c r="W41" s="28">
        <v>1605342</v>
      </c>
      <c r="X41" s="28"/>
      <c r="Y41" t="s">
        <v>72</v>
      </c>
      <c r="Z41" s="31" t="s">
        <v>80</v>
      </c>
      <c r="AA41" s="30">
        <v>2097357.9648000002</v>
      </c>
      <c r="AB41" s="32" t="s">
        <v>28</v>
      </c>
    </row>
    <row r="42" spans="1:28" x14ac:dyDescent="0.35">
      <c r="A42" s="24">
        <v>31</v>
      </c>
      <c r="B42" s="24" t="s">
        <v>122</v>
      </c>
      <c r="C42" s="25" t="s">
        <v>13</v>
      </c>
      <c r="D42" s="24" t="s">
        <v>74</v>
      </c>
      <c r="E42" s="26" t="s">
        <v>64</v>
      </c>
      <c r="F42" s="26" t="s">
        <v>96</v>
      </c>
      <c r="G42" s="26" t="s">
        <v>66</v>
      </c>
      <c r="H42" s="26" t="s">
        <v>75</v>
      </c>
      <c r="I42" s="26" t="s">
        <v>76</v>
      </c>
      <c r="J42" s="26" t="s">
        <v>77</v>
      </c>
      <c r="K42" s="26" t="s">
        <v>107</v>
      </c>
      <c r="L42" s="26" t="s">
        <v>13</v>
      </c>
      <c r="M42" s="26" t="s">
        <v>107</v>
      </c>
      <c r="N42" s="26" t="s">
        <v>22</v>
      </c>
      <c r="O42" s="26" t="str">
        <f t="shared" si="0"/>
        <v>Business Intelligence (BI) Data Analysis_P10</v>
      </c>
      <c r="P42" s="26" t="s">
        <v>71</v>
      </c>
      <c r="Q42" s="26">
        <v>4</v>
      </c>
      <c r="R42" s="26">
        <v>774</v>
      </c>
      <c r="S42" s="27">
        <v>1869295.9999999998</v>
      </c>
      <c r="T42" s="28"/>
      <c r="U42" s="28"/>
      <c r="V42" s="29">
        <v>776839</v>
      </c>
      <c r="W42" s="28"/>
      <c r="X42" s="28"/>
      <c r="Y42" t="s">
        <v>79</v>
      </c>
      <c r="Z42" s="31" t="s">
        <v>80</v>
      </c>
      <c r="AA42" s="30">
        <v>2074918.5599999998</v>
      </c>
    </row>
    <row r="43" spans="1:28" x14ac:dyDescent="0.35">
      <c r="A43" s="24">
        <v>33</v>
      </c>
      <c r="B43" s="24" t="s">
        <v>123</v>
      </c>
      <c r="C43" s="25" t="s">
        <v>13</v>
      </c>
      <c r="D43" s="24" t="s">
        <v>74</v>
      </c>
      <c r="E43" s="26" t="s">
        <v>64</v>
      </c>
      <c r="F43" s="26" t="s">
        <v>96</v>
      </c>
      <c r="G43" s="26" t="s">
        <v>66</v>
      </c>
      <c r="H43" s="26" t="s">
        <v>75</v>
      </c>
      <c r="I43" s="26" t="s">
        <v>76</v>
      </c>
      <c r="J43" s="26" t="s">
        <v>82</v>
      </c>
      <c r="K43" s="26" t="s">
        <v>107</v>
      </c>
      <c r="L43" s="26" t="s">
        <v>13</v>
      </c>
      <c r="M43" s="26" t="s">
        <v>107</v>
      </c>
      <c r="N43" s="26" t="s">
        <v>22</v>
      </c>
      <c r="O43" s="26" t="str">
        <f t="shared" si="0"/>
        <v>Data Science_P10</v>
      </c>
      <c r="P43" s="26" t="s">
        <v>71</v>
      </c>
      <c r="Q43" s="26">
        <v>6</v>
      </c>
      <c r="R43" s="26">
        <v>189</v>
      </c>
      <c r="S43" s="27">
        <v>1754990.70784</v>
      </c>
      <c r="T43" s="28"/>
      <c r="U43" s="28">
        <v>985302</v>
      </c>
      <c r="V43" s="29">
        <v>1310576</v>
      </c>
      <c r="W43" s="28">
        <v>1605342</v>
      </c>
      <c r="X43" s="28"/>
      <c r="Y43" t="s">
        <v>72</v>
      </c>
      <c r="Z43" s="31" t="s">
        <v>80</v>
      </c>
      <c r="AA43" s="30">
        <v>1948038.94784</v>
      </c>
      <c r="AB43" s="32" t="s">
        <v>28</v>
      </c>
    </row>
    <row r="44" spans="1:28" x14ac:dyDescent="0.35">
      <c r="A44" s="24">
        <v>34</v>
      </c>
      <c r="B44" s="24" t="s">
        <v>109</v>
      </c>
      <c r="C44" s="25" t="s">
        <v>13</v>
      </c>
      <c r="D44" s="24" t="s">
        <v>74</v>
      </c>
      <c r="E44" s="26" t="s">
        <v>64</v>
      </c>
      <c r="F44" s="26" t="s">
        <v>96</v>
      </c>
      <c r="G44" s="26" t="s">
        <v>66</v>
      </c>
      <c r="H44" s="26" t="s">
        <v>75</v>
      </c>
      <c r="I44" s="26" t="s">
        <v>76</v>
      </c>
      <c r="J44" s="26" t="s">
        <v>77</v>
      </c>
      <c r="K44" s="26" t="s">
        <v>107</v>
      </c>
      <c r="L44" s="26" t="s">
        <v>13</v>
      </c>
      <c r="M44" s="26" t="s">
        <v>107</v>
      </c>
      <c r="N44" s="26" t="s">
        <v>22</v>
      </c>
      <c r="O44" s="26" t="str">
        <f t="shared" si="0"/>
        <v>Business Intelligence (BI) Data Analysis_P10</v>
      </c>
      <c r="P44" s="26" t="s">
        <v>71</v>
      </c>
      <c r="Q44" s="26">
        <v>4</v>
      </c>
      <c r="R44" s="26">
        <v>774</v>
      </c>
      <c r="S44" s="27">
        <v>1754135.1725999999</v>
      </c>
      <c r="T44" s="28"/>
      <c r="U44" s="28"/>
      <c r="V44" s="29">
        <v>776839</v>
      </c>
      <c r="W44" s="28"/>
      <c r="X44" s="28"/>
      <c r="Y44" t="s">
        <v>79</v>
      </c>
      <c r="Z44" s="31" t="s">
        <v>80</v>
      </c>
      <c r="AA44" s="30">
        <v>1947087.8225999998</v>
      </c>
    </row>
    <row r="45" spans="1:28" x14ac:dyDescent="0.35">
      <c r="A45" s="24">
        <v>35</v>
      </c>
      <c r="B45" s="24" t="s">
        <v>106</v>
      </c>
      <c r="C45" s="25" t="s">
        <v>13</v>
      </c>
      <c r="D45" s="24" t="s">
        <v>74</v>
      </c>
      <c r="E45" s="26" t="s">
        <v>64</v>
      </c>
      <c r="F45" s="26" t="s">
        <v>96</v>
      </c>
      <c r="G45" s="26" t="s">
        <v>66</v>
      </c>
      <c r="H45" s="26" t="s">
        <v>75</v>
      </c>
      <c r="I45" s="26" t="s">
        <v>76</v>
      </c>
      <c r="J45" s="26" t="s">
        <v>82</v>
      </c>
      <c r="K45" s="26" t="s">
        <v>107</v>
      </c>
      <c r="L45" s="26" t="s">
        <v>13</v>
      </c>
      <c r="M45" s="26" t="s">
        <v>107</v>
      </c>
      <c r="N45" s="26" t="s">
        <v>22</v>
      </c>
      <c r="O45" s="26" t="str">
        <f t="shared" si="0"/>
        <v>Data Science_P10</v>
      </c>
      <c r="P45" s="26" t="s">
        <v>71</v>
      </c>
      <c r="Q45" s="26">
        <v>6</v>
      </c>
      <c r="R45" s="26">
        <v>189</v>
      </c>
      <c r="S45" s="27">
        <v>1721139.18728</v>
      </c>
      <c r="T45" s="28"/>
      <c r="U45" s="28">
        <v>985302</v>
      </c>
      <c r="V45" s="29">
        <v>1310576</v>
      </c>
      <c r="W45" s="28">
        <v>1605342</v>
      </c>
      <c r="X45" s="28"/>
      <c r="Y45" t="s">
        <v>72</v>
      </c>
      <c r="Z45" s="31" t="s">
        <v>80</v>
      </c>
      <c r="AA45" s="30">
        <v>1910462.6072799999</v>
      </c>
      <c r="AB45" s="32" t="s">
        <v>28</v>
      </c>
    </row>
    <row r="46" spans="1:28" x14ac:dyDescent="0.35">
      <c r="A46" s="24">
        <v>52</v>
      </c>
      <c r="B46" s="24" t="s">
        <v>124</v>
      </c>
      <c r="C46" s="25" t="s">
        <v>13</v>
      </c>
      <c r="D46" s="24" t="s">
        <v>111</v>
      </c>
      <c r="E46" s="26" t="s">
        <v>64</v>
      </c>
      <c r="F46" s="26" t="s">
        <v>96</v>
      </c>
      <c r="G46" s="26" t="s">
        <v>66</v>
      </c>
      <c r="H46" s="26" t="s">
        <v>117</v>
      </c>
      <c r="I46" s="26" t="s">
        <v>125</v>
      </c>
      <c r="J46" s="26" t="s">
        <v>126</v>
      </c>
      <c r="K46" s="26" t="s">
        <v>127</v>
      </c>
      <c r="L46" s="26" t="s">
        <v>17</v>
      </c>
      <c r="M46" s="26" t="s">
        <v>127</v>
      </c>
      <c r="N46" s="26" t="s">
        <v>128</v>
      </c>
      <c r="O46" s="26" t="str">
        <f t="shared" si="0"/>
        <v>Data Management (Outsourcing &amp; Global Capability Centers)_S20</v>
      </c>
      <c r="P46" s="26" t="s">
        <v>120</v>
      </c>
      <c r="Q46" s="34">
        <v>11</v>
      </c>
      <c r="R46" s="34">
        <v>2077</v>
      </c>
      <c r="S46" s="27">
        <v>1542357.0864000001</v>
      </c>
      <c r="T46" s="34">
        <v>435520</v>
      </c>
      <c r="U46" s="34">
        <v>486337</v>
      </c>
      <c r="V46" s="29">
        <v>590818</v>
      </c>
      <c r="W46" s="34">
        <v>869968</v>
      </c>
      <c r="X46" s="34">
        <v>973530</v>
      </c>
      <c r="Y46" t="s">
        <v>72</v>
      </c>
      <c r="Z46" t="str" cm="1">
        <f t="array" ref="Z46">_xlfn.IFS(S46&lt;T46,"Less than 10",S46&lt;U46,"Bt 10 and 25",S46&lt;V46,"Between 25 and 50",S46&lt;W46,"Between 50 and 75",S46&lt;X46,"between 75 and 90",S46&gt;X46,"greater than 90")</f>
        <v>greater than 90</v>
      </c>
      <c r="AA46" s="30">
        <v>1712014.7064000003</v>
      </c>
      <c r="AB46" t="s">
        <v>28</v>
      </c>
    </row>
    <row r="47" spans="1:28" x14ac:dyDescent="0.35">
      <c r="A47" s="24">
        <v>30</v>
      </c>
      <c r="B47" s="24" t="s">
        <v>122</v>
      </c>
      <c r="C47" s="25" t="s">
        <v>13</v>
      </c>
      <c r="D47" s="24" t="s">
        <v>74</v>
      </c>
      <c r="E47" s="26" t="s">
        <v>64</v>
      </c>
      <c r="F47" s="26" t="s">
        <v>96</v>
      </c>
      <c r="G47" s="26" t="s">
        <v>66</v>
      </c>
      <c r="H47" s="26" t="s">
        <v>75</v>
      </c>
      <c r="I47" s="26" t="s">
        <v>76</v>
      </c>
      <c r="J47" s="26" t="s">
        <v>77</v>
      </c>
      <c r="K47" s="26" t="s">
        <v>107</v>
      </c>
      <c r="L47" s="26" t="s">
        <v>13</v>
      </c>
      <c r="M47" s="26" t="s">
        <v>107</v>
      </c>
      <c r="N47" s="26" t="s">
        <v>22</v>
      </c>
      <c r="O47" s="26" t="str">
        <f t="shared" si="0"/>
        <v>Business Intelligence (BI) Data Analysis_P10</v>
      </c>
      <c r="P47" s="26" t="s">
        <v>71</v>
      </c>
      <c r="Q47" s="26">
        <v>4</v>
      </c>
      <c r="R47" s="26">
        <v>774</v>
      </c>
      <c r="S47" s="27">
        <v>1539076.0000000002</v>
      </c>
      <c r="T47" s="28"/>
      <c r="U47" s="28"/>
      <c r="V47" s="29">
        <v>776839</v>
      </c>
      <c r="W47" s="28"/>
      <c r="X47" s="28"/>
      <c r="Y47" t="s">
        <v>79</v>
      </c>
      <c r="Z47" s="31" t="s">
        <v>80</v>
      </c>
      <c r="AA47" s="30">
        <v>1708374.3600000003</v>
      </c>
    </row>
    <row r="48" spans="1:28" x14ac:dyDescent="0.35">
      <c r="A48" s="24">
        <v>115</v>
      </c>
      <c r="B48" s="24" t="s">
        <v>129</v>
      </c>
      <c r="C48" s="25" t="s">
        <v>13</v>
      </c>
      <c r="D48" s="24" t="s">
        <v>92</v>
      </c>
      <c r="E48" s="26" t="s">
        <v>64</v>
      </c>
      <c r="F48" s="26" t="s">
        <v>96</v>
      </c>
      <c r="G48" s="26" t="s">
        <v>66</v>
      </c>
      <c r="H48" s="26" t="s">
        <v>75</v>
      </c>
      <c r="I48" s="26" t="s">
        <v>93</v>
      </c>
      <c r="J48" s="26" t="s">
        <v>94</v>
      </c>
      <c r="K48" s="26" t="s">
        <v>107</v>
      </c>
      <c r="L48" s="26" t="s">
        <v>13</v>
      </c>
      <c r="M48" s="26" t="s">
        <v>107</v>
      </c>
      <c r="N48" s="26" t="s">
        <v>22</v>
      </c>
      <c r="O48" s="26" t="str">
        <f t="shared" si="0"/>
        <v>Internal Database Engineering_P10</v>
      </c>
      <c r="P48" s="26" t="s">
        <v>71</v>
      </c>
      <c r="Q48" s="26" t="s">
        <v>80</v>
      </c>
      <c r="R48" s="26" t="s">
        <v>80</v>
      </c>
      <c r="S48" s="27">
        <v>1522522.3329</v>
      </c>
      <c r="T48" s="28"/>
      <c r="U48" s="28"/>
      <c r="V48" s="29"/>
      <c r="W48" s="28"/>
      <c r="X48" s="28"/>
      <c r="Y48" t="s">
        <v>72</v>
      </c>
      <c r="Z48" s="31" t="s">
        <v>80</v>
      </c>
      <c r="AA48" s="30">
        <v>1689999.3329</v>
      </c>
    </row>
    <row r="49" spans="1:28" x14ac:dyDescent="0.35">
      <c r="A49" s="24">
        <v>7</v>
      </c>
      <c r="B49" s="24" t="s">
        <v>129</v>
      </c>
      <c r="C49" s="25" t="s">
        <v>13</v>
      </c>
      <c r="D49" s="24" t="s">
        <v>92</v>
      </c>
      <c r="E49" s="26" t="s">
        <v>64</v>
      </c>
      <c r="F49" s="26" t="s">
        <v>96</v>
      </c>
      <c r="G49" s="26" t="s">
        <v>66</v>
      </c>
      <c r="H49" s="26" t="s">
        <v>75</v>
      </c>
      <c r="I49" s="26" t="s">
        <v>93</v>
      </c>
      <c r="J49" s="26" t="s">
        <v>94</v>
      </c>
      <c r="K49" s="26" t="s">
        <v>107</v>
      </c>
      <c r="L49" s="26" t="s">
        <v>13</v>
      </c>
      <c r="M49" s="26" t="s">
        <v>107</v>
      </c>
      <c r="N49" s="26" t="s">
        <v>22</v>
      </c>
      <c r="O49" s="26" t="str">
        <f t="shared" si="0"/>
        <v>Internal Database Engineering_P10</v>
      </c>
      <c r="P49" s="26" t="s">
        <v>71</v>
      </c>
      <c r="Q49" s="26" t="s">
        <v>80</v>
      </c>
      <c r="R49" s="26" t="s">
        <v>80</v>
      </c>
      <c r="S49" s="27">
        <v>1512010.0723999999</v>
      </c>
      <c r="T49" s="28"/>
      <c r="U49" s="28"/>
      <c r="V49" s="29"/>
      <c r="W49" s="28"/>
      <c r="X49" s="28"/>
      <c r="Y49" t="s">
        <v>72</v>
      </c>
      <c r="Z49" s="31" t="s">
        <v>80</v>
      </c>
      <c r="AA49" s="30">
        <v>1678331.0723999999</v>
      </c>
    </row>
    <row r="50" spans="1:28" x14ac:dyDescent="0.35">
      <c r="A50" s="24">
        <v>103</v>
      </c>
      <c r="B50" s="24" t="s">
        <v>130</v>
      </c>
      <c r="C50" s="25" t="s">
        <v>13</v>
      </c>
      <c r="D50" s="24" t="s">
        <v>74</v>
      </c>
      <c r="E50" s="26" t="s">
        <v>64</v>
      </c>
      <c r="F50" s="26" t="s">
        <v>96</v>
      </c>
      <c r="G50" s="26" t="s">
        <v>66</v>
      </c>
      <c r="H50" s="26" t="s">
        <v>75</v>
      </c>
      <c r="I50" s="26" t="s">
        <v>76</v>
      </c>
      <c r="J50" s="26" t="s">
        <v>77</v>
      </c>
      <c r="K50" s="26" t="s">
        <v>107</v>
      </c>
      <c r="L50" s="26" t="s">
        <v>13</v>
      </c>
      <c r="M50" s="26" t="s">
        <v>107</v>
      </c>
      <c r="N50" s="26" t="s">
        <v>22</v>
      </c>
      <c r="O50" s="26" t="str">
        <f t="shared" si="0"/>
        <v>Business Intelligence (BI) Data Analysis_P10</v>
      </c>
      <c r="P50" s="26" t="s">
        <v>71</v>
      </c>
      <c r="Q50" s="26">
        <v>4</v>
      </c>
      <c r="R50" s="26">
        <v>774</v>
      </c>
      <c r="S50" s="27">
        <v>1485999.64</v>
      </c>
      <c r="T50" s="28"/>
      <c r="U50" s="28"/>
      <c r="V50" s="29">
        <v>776839</v>
      </c>
      <c r="W50" s="28"/>
      <c r="X50" s="28"/>
      <c r="Y50" t="s">
        <v>72</v>
      </c>
      <c r="Z50" s="31" t="s">
        <v>80</v>
      </c>
      <c r="AA50" s="30">
        <v>1649459.64</v>
      </c>
    </row>
    <row r="51" spans="1:28" x14ac:dyDescent="0.35">
      <c r="A51" s="24">
        <v>28</v>
      </c>
      <c r="B51" s="24" t="s">
        <v>131</v>
      </c>
      <c r="C51" s="25" t="s">
        <v>132</v>
      </c>
      <c r="D51" s="24" t="s">
        <v>74</v>
      </c>
      <c r="E51" s="26" t="s">
        <v>64</v>
      </c>
      <c r="F51" s="26" t="s">
        <v>96</v>
      </c>
      <c r="G51" s="26" t="s">
        <v>66</v>
      </c>
      <c r="H51" s="26" t="s">
        <v>75</v>
      </c>
      <c r="I51" s="26" t="s">
        <v>76</v>
      </c>
      <c r="J51" s="26" t="s">
        <v>82</v>
      </c>
      <c r="K51" s="26" t="s">
        <v>133</v>
      </c>
      <c r="L51" s="26" t="s">
        <v>15</v>
      </c>
      <c r="M51" s="26" t="s">
        <v>133</v>
      </c>
      <c r="N51" s="26" t="s">
        <v>22</v>
      </c>
      <c r="O51" s="26" t="str">
        <f t="shared" si="0"/>
        <v>Data Science_P20</v>
      </c>
      <c r="P51" s="26" t="s">
        <v>71</v>
      </c>
      <c r="Q51" s="26">
        <v>10</v>
      </c>
      <c r="R51" s="26">
        <v>291</v>
      </c>
      <c r="S51" s="27">
        <v>1482219.6</v>
      </c>
      <c r="T51" s="28">
        <v>931797</v>
      </c>
      <c r="U51" s="28">
        <v>1389560</v>
      </c>
      <c r="V51" s="29">
        <v>2103117</v>
      </c>
      <c r="W51" s="28">
        <v>2437500</v>
      </c>
      <c r="X51" s="28">
        <v>2683026</v>
      </c>
      <c r="Y51" t="s">
        <v>79</v>
      </c>
      <c r="Z51" t="str" cm="1">
        <f t="array" ref="Z51">_xlfn.IFS(S51&lt;T51,"Less than 10",S51&lt;U51,"Bt 10 and 25",S51&lt;V51,"Between 25 and 50",S51&lt;W51,"Between 50 and 75",S51&lt;X51,"between 75 and 90",S51&gt;X51,"greater than 90")</f>
        <v>Between 25 and 50</v>
      </c>
      <c r="AA51" s="30">
        <v>1645262.7000000002</v>
      </c>
      <c r="AB51" t="s">
        <v>26</v>
      </c>
    </row>
    <row r="52" spans="1:28" x14ac:dyDescent="0.35">
      <c r="A52" s="24">
        <v>58</v>
      </c>
      <c r="B52" s="24" t="s">
        <v>115</v>
      </c>
      <c r="C52" s="25" t="s">
        <v>13</v>
      </c>
      <c r="D52" s="24" t="s">
        <v>74</v>
      </c>
      <c r="E52" s="26" t="s">
        <v>64</v>
      </c>
      <c r="F52" s="26" t="s">
        <v>96</v>
      </c>
      <c r="G52" s="26" t="s">
        <v>66</v>
      </c>
      <c r="H52" s="26" t="s">
        <v>67</v>
      </c>
      <c r="I52" s="26" t="s">
        <v>68</v>
      </c>
      <c r="J52" s="26" t="s">
        <v>115</v>
      </c>
      <c r="K52" s="26" t="s">
        <v>107</v>
      </c>
      <c r="L52" s="26" t="s">
        <v>13</v>
      </c>
      <c r="M52" s="26" t="s">
        <v>107</v>
      </c>
      <c r="N52" s="26" t="s">
        <v>22</v>
      </c>
      <c r="O52" s="26" t="str">
        <f t="shared" si="0"/>
        <v>Scrum Master_P10</v>
      </c>
      <c r="P52" s="26" t="s">
        <v>71</v>
      </c>
      <c r="Q52" s="26" t="s">
        <v>80</v>
      </c>
      <c r="R52" s="26" t="s">
        <v>80</v>
      </c>
      <c r="S52" s="27">
        <v>1475000</v>
      </c>
      <c r="T52" s="28"/>
      <c r="U52" s="28"/>
      <c r="V52" s="29"/>
      <c r="W52" s="28"/>
      <c r="X52" s="28"/>
      <c r="Y52" t="s">
        <v>79</v>
      </c>
      <c r="Z52" s="31" t="s">
        <v>80</v>
      </c>
      <c r="AA52" s="30">
        <v>1637250</v>
      </c>
    </row>
    <row r="53" spans="1:28" x14ac:dyDescent="0.35">
      <c r="A53" s="24">
        <v>65</v>
      </c>
      <c r="B53" s="24" t="s">
        <v>131</v>
      </c>
      <c r="C53" s="25" t="s">
        <v>132</v>
      </c>
      <c r="D53" s="24" t="s">
        <v>74</v>
      </c>
      <c r="E53" s="26" t="s">
        <v>64</v>
      </c>
      <c r="F53" s="26" t="s">
        <v>96</v>
      </c>
      <c r="G53" s="26" t="s">
        <v>66</v>
      </c>
      <c r="H53" s="26" t="s">
        <v>75</v>
      </c>
      <c r="I53" s="26" t="s">
        <v>76</v>
      </c>
      <c r="J53" s="26" t="s">
        <v>82</v>
      </c>
      <c r="K53" s="26" t="s">
        <v>133</v>
      </c>
      <c r="L53" s="26" t="s">
        <v>15</v>
      </c>
      <c r="M53" s="26" t="s">
        <v>133</v>
      </c>
      <c r="N53" s="26" t="s">
        <v>22</v>
      </c>
      <c r="O53" s="26" t="str">
        <f t="shared" si="0"/>
        <v>Data Science_P20</v>
      </c>
      <c r="P53" s="26" t="s">
        <v>71</v>
      </c>
      <c r="Q53" s="26">
        <v>10</v>
      </c>
      <c r="R53" s="26">
        <v>291</v>
      </c>
      <c r="S53" s="27">
        <v>1430188.8555999999</v>
      </c>
      <c r="T53" s="28">
        <v>931797</v>
      </c>
      <c r="U53" s="28">
        <v>1389560</v>
      </c>
      <c r="V53" s="29">
        <v>2103117</v>
      </c>
      <c r="W53" s="28">
        <v>2437500</v>
      </c>
      <c r="X53" s="28">
        <v>2683026</v>
      </c>
      <c r="Y53" t="s">
        <v>72</v>
      </c>
      <c r="Z53" t="str" cm="1">
        <f t="array" ref="Z53">_xlfn.IFS(S53&lt;T53,"Less than 10",S53&lt;U53,"Bt 10 and 25",S53&lt;V53,"Between 25 and 50",S53&lt;W53,"Between 50 and 75",S53&lt;X53,"between 75 and 90",S53&gt;X53,"greater than 90")</f>
        <v>Between 25 and 50</v>
      </c>
      <c r="AA53" s="30">
        <v>1587509.8555999999</v>
      </c>
      <c r="AB53" t="s">
        <v>26</v>
      </c>
    </row>
    <row r="54" spans="1:28" x14ac:dyDescent="0.35">
      <c r="A54" s="24">
        <v>70</v>
      </c>
      <c r="B54" s="24" t="s">
        <v>134</v>
      </c>
      <c r="C54" s="25" t="s">
        <v>13</v>
      </c>
      <c r="D54" s="24" t="s">
        <v>135</v>
      </c>
      <c r="E54" s="26" t="s">
        <v>64</v>
      </c>
      <c r="F54" s="26" t="s">
        <v>96</v>
      </c>
      <c r="G54" s="26" t="s">
        <v>66</v>
      </c>
      <c r="H54" s="26" t="s">
        <v>112</v>
      </c>
      <c r="I54" s="26" t="s">
        <v>136</v>
      </c>
      <c r="J54" s="26" t="s">
        <v>137</v>
      </c>
      <c r="K54" s="26" t="s">
        <v>107</v>
      </c>
      <c r="L54" s="26" t="s">
        <v>13</v>
      </c>
      <c r="M54" s="26" t="s">
        <v>107</v>
      </c>
      <c r="N54" s="26" t="s">
        <v>22</v>
      </c>
      <c r="O54" s="26" t="str">
        <f t="shared" si="0"/>
        <v>General IT User Support_P10</v>
      </c>
      <c r="P54" s="26" t="s">
        <v>71</v>
      </c>
      <c r="Q54" s="26">
        <v>7</v>
      </c>
      <c r="R54" s="26">
        <v>662</v>
      </c>
      <c r="S54" s="27">
        <v>1400000</v>
      </c>
      <c r="T54" s="28"/>
      <c r="U54" s="28">
        <v>389022</v>
      </c>
      <c r="V54" s="29">
        <v>586529</v>
      </c>
      <c r="W54" s="28">
        <v>707423</v>
      </c>
      <c r="X54" s="28"/>
      <c r="Y54" t="s">
        <v>72</v>
      </c>
      <c r="Z54" s="31" t="s">
        <v>80</v>
      </c>
      <c r="AA54" s="30">
        <v>1554000</v>
      </c>
      <c r="AB54" s="32" t="s">
        <v>28</v>
      </c>
    </row>
    <row r="55" spans="1:28" x14ac:dyDescent="0.35">
      <c r="A55" s="24">
        <v>102</v>
      </c>
      <c r="B55" s="24" t="s">
        <v>138</v>
      </c>
      <c r="C55" s="25" t="s">
        <v>13</v>
      </c>
      <c r="D55" s="24" t="s">
        <v>111</v>
      </c>
      <c r="E55" s="26" t="s">
        <v>64</v>
      </c>
      <c r="F55" s="26" t="s">
        <v>96</v>
      </c>
      <c r="G55" s="26" t="s">
        <v>66</v>
      </c>
      <c r="H55" s="26" t="s">
        <v>117</v>
      </c>
      <c r="I55" s="26" t="s">
        <v>118</v>
      </c>
      <c r="J55" s="26" t="s">
        <v>119</v>
      </c>
      <c r="K55" s="26" t="s">
        <v>107</v>
      </c>
      <c r="L55" s="26" t="s">
        <v>13</v>
      </c>
      <c r="M55" s="26" t="s">
        <v>107</v>
      </c>
      <c r="N55" s="26" t="s">
        <v>22</v>
      </c>
      <c r="O55" s="26" t="str">
        <f t="shared" si="0"/>
        <v>Supply Chain Planning (Outsourcing &amp; Global Capability Centers)_P10</v>
      </c>
      <c r="P55" s="26" t="s">
        <v>120</v>
      </c>
      <c r="Q55" s="34">
        <v>9</v>
      </c>
      <c r="R55" s="34">
        <v>409</v>
      </c>
      <c r="S55" s="27">
        <v>1351351.0220999999</v>
      </c>
      <c r="T55" s="34"/>
      <c r="U55" s="34">
        <v>385732</v>
      </c>
      <c r="V55" s="29">
        <v>564526</v>
      </c>
      <c r="W55" s="34">
        <v>729905</v>
      </c>
      <c r="X55" s="34"/>
      <c r="Y55" t="s">
        <v>72</v>
      </c>
      <c r="Z55" s="31" t="s">
        <v>80</v>
      </c>
      <c r="AA55" s="30">
        <v>1500000.0220999999</v>
      </c>
      <c r="AB55" s="32" t="s">
        <v>28</v>
      </c>
    </row>
    <row r="56" spans="1:28" x14ac:dyDescent="0.35">
      <c r="A56" s="24">
        <v>75</v>
      </c>
      <c r="B56" s="24" t="s">
        <v>139</v>
      </c>
      <c r="C56" s="25" t="s">
        <v>13</v>
      </c>
      <c r="D56" s="24" t="s">
        <v>101</v>
      </c>
      <c r="E56" s="26" t="s">
        <v>64</v>
      </c>
      <c r="F56" s="26" t="s">
        <v>96</v>
      </c>
      <c r="G56" s="26" t="s">
        <v>66</v>
      </c>
      <c r="H56" s="26" t="s">
        <v>102</v>
      </c>
      <c r="I56" s="26" t="s">
        <v>103</v>
      </c>
      <c r="J56" s="26" t="s">
        <v>104</v>
      </c>
      <c r="K56" s="26" t="s">
        <v>107</v>
      </c>
      <c r="L56" s="26" t="s">
        <v>13</v>
      </c>
      <c r="M56" s="26" t="s">
        <v>107</v>
      </c>
      <c r="N56" s="26" t="s">
        <v>22</v>
      </c>
      <c r="O56" s="26" t="str">
        <f t="shared" si="0"/>
        <v>General Human Resources_P10</v>
      </c>
      <c r="P56" s="26" t="s">
        <v>89</v>
      </c>
      <c r="Q56" s="34">
        <v>5</v>
      </c>
      <c r="R56" s="34">
        <v>16</v>
      </c>
      <c r="S56" s="27">
        <v>1350000</v>
      </c>
      <c r="T56" s="34"/>
      <c r="U56" s="34">
        <v>630838</v>
      </c>
      <c r="V56" s="29">
        <v>756554</v>
      </c>
      <c r="W56" s="34">
        <v>934077</v>
      </c>
      <c r="X56" s="34"/>
      <c r="Y56" t="s">
        <v>72</v>
      </c>
      <c r="Z56" s="31" t="s">
        <v>80</v>
      </c>
      <c r="AA56" s="30">
        <v>1498500</v>
      </c>
      <c r="AB56" s="32" t="s">
        <v>28</v>
      </c>
    </row>
    <row r="57" spans="1:28" x14ac:dyDescent="0.35">
      <c r="A57" s="24">
        <v>96</v>
      </c>
      <c r="B57" s="24" t="s">
        <v>131</v>
      </c>
      <c r="C57" s="25" t="s">
        <v>132</v>
      </c>
      <c r="D57" s="24" t="s">
        <v>74</v>
      </c>
      <c r="E57" s="26" t="s">
        <v>64</v>
      </c>
      <c r="F57" s="26" t="s">
        <v>96</v>
      </c>
      <c r="G57" s="26" t="s">
        <v>66</v>
      </c>
      <c r="H57" s="26" t="s">
        <v>75</v>
      </c>
      <c r="I57" s="26" t="s">
        <v>76</v>
      </c>
      <c r="J57" s="26" t="s">
        <v>82</v>
      </c>
      <c r="K57" s="26" t="s">
        <v>133</v>
      </c>
      <c r="L57" s="26" t="s">
        <v>15</v>
      </c>
      <c r="M57" s="26" t="s">
        <v>133</v>
      </c>
      <c r="N57" s="26" t="s">
        <v>22</v>
      </c>
      <c r="O57" s="26" t="str">
        <f t="shared" si="0"/>
        <v>Data Science_P20</v>
      </c>
      <c r="P57" s="26" t="s">
        <v>71</v>
      </c>
      <c r="Q57" s="26">
        <v>10</v>
      </c>
      <c r="R57" s="26">
        <v>291</v>
      </c>
      <c r="S57" s="27">
        <v>1350000</v>
      </c>
      <c r="T57" s="28">
        <v>931797</v>
      </c>
      <c r="U57" s="28">
        <v>1389560</v>
      </c>
      <c r="V57" s="29">
        <v>2103117</v>
      </c>
      <c r="W57" s="28">
        <v>2437500</v>
      </c>
      <c r="X57" s="28">
        <v>2683026</v>
      </c>
      <c r="Y57" t="s">
        <v>72</v>
      </c>
      <c r="Z57" t="str" cm="1">
        <f t="array" ref="Z57">_xlfn.IFS(S57&lt;T57,"Less than 10",S57&lt;U57,"Bt 10 and 25",S57&lt;V57,"Between 25 and 50",S57&lt;W57,"Between 50 and 75",S57&lt;X57,"between 75 and 90",S57&gt;X57,"greater than 90")</f>
        <v>Bt 10 and 25</v>
      </c>
      <c r="AA57" s="30">
        <v>1498500</v>
      </c>
      <c r="AB57" t="s">
        <v>25</v>
      </c>
    </row>
    <row r="58" spans="1:28" x14ac:dyDescent="0.35">
      <c r="A58" s="24">
        <v>55</v>
      </c>
      <c r="B58" s="24" t="s">
        <v>131</v>
      </c>
      <c r="C58" s="25" t="s">
        <v>132</v>
      </c>
      <c r="D58" s="24" t="s">
        <v>74</v>
      </c>
      <c r="E58" s="26" t="s">
        <v>64</v>
      </c>
      <c r="F58" s="26" t="s">
        <v>96</v>
      </c>
      <c r="G58" s="26" t="s">
        <v>66</v>
      </c>
      <c r="H58" s="26" t="s">
        <v>75</v>
      </c>
      <c r="I58" s="26" t="s">
        <v>76</v>
      </c>
      <c r="J58" s="26" t="s">
        <v>82</v>
      </c>
      <c r="K58" s="26" t="s">
        <v>133</v>
      </c>
      <c r="L58" s="26" t="s">
        <v>15</v>
      </c>
      <c r="M58" s="26" t="s">
        <v>133</v>
      </c>
      <c r="N58" s="26" t="s">
        <v>22</v>
      </c>
      <c r="O58" s="26" t="str">
        <f t="shared" si="0"/>
        <v>Data Science_P20</v>
      </c>
      <c r="P58" s="26" t="s">
        <v>71</v>
      </c>
      <c r="Q58" s="26">
        <v>10</v>
      </c>
      <c r="R58" s="26">
        <v>291</v>
      </c>
      <c r="S58" s="27">
        <v>1299133.4399999999</v>
      </c>
      <c r="T58" s="28">
        <v>931797</v>
      </c>
      <c r="U58" s="28">
        <v>1389560</v>
      </c>
      <c r="V58" s="29">
        <v>2103117</v>
      </c>
      <c r="W58" s="28">
        <v>2437500</v>
      </c>
      <c r="X58" s="28">
        <v>2683026</v>
      </c>
      <c r="Y58" t="s">
        <v>72</v>
      </c>
      <c r="Z58" t="str" cm="1">
        <f t="array" ref="Z58">_xlfn.IFS(S58&lt;T58,"Less than 10",S58&lt;U58,"Bt 10 and 25",S58&lt;V58,"Between 25 and 50",S58&lt;W58,"Between 50 and 75",S58&lt;X58,"between 75 and 90",S58&gt;X58,"greater than 90")</f>
        <v>Bt 10 and 25</v>
      </c>
      <c r="AA58" s="30">
        <v>1446762.24</v>
      </c>
      <c r="AB58" t="s">
        <v>25</v>
      </c>
    </row>
    <row r="59" spans="1:28" x14ac:dyDescent="0.35">
      <c r="A59" s="24">
        <v>57</v>
      </c>
      <c r="B59" s="24" t="s">
        <v>131</v>
      </c>
      <c r="C59" s="25" t="s">
        <v>132</v>
      </c>
      <c r="D59" s="24" t="s">
        <v>74</v>
      </c>
      <c r="E59" s="26" t="s">
        <v>64</v>
      </c>
      <c r="F59" s="26" t="s">
        <v>96</v>
      </c>
      <c r="G59" s="26" t="s">
        <v>66</v>
      </c>
      <c r="H59" s="26" t="s">
        <v>75</v>
      </c>
      <c r="I59" s="26" t="s">
        <v>76</v>
      </c>
      <c r="J59" s="26" t="s">
        <v>82</v>
      </c>
      <c r="K59" s="26" t="s">
        <v>133</v>
      </c>
      <c r="L59" s="26" t="s">
        <v>15</v>
      </c>
      <c r="M59" s="26" t="s">
        <v>133</v>
      </c>
      <c r="N59" s="26" t="s">
        <v>22</v>
      </c>
      <c r="O59" s="26" t="str">
        <f t="shared" si="0"/>
        <v>Data Science_P20</v>
      </c>
      <c r="P59" s="26" t="s">
        <v>71</v>
      </c>
      <c r="Q59" s="26">
        <v>10</v>
      </c>
      <c r="R59" s="26">
        <v>291</v>
      </c>
      <c r="S59" s="27">
        <v>1207292.2596</v>
      </c>
      <c r="T59" s="28">
        <v>931797</v>
      </c>
      <c r="U59" s="28">
        <v>1389560</v>
      </c>
      <c r="V59" s="29">
        <v>2103117</v>
      </c>
      <c r="W59" s="28">
        <v>2437500</v>
      </c>
      <c r="X59" s="28">
        <v>2683026</v>
      </c>
      <c r="Y59" t="s">
        <v>72</v>
      </c>
      <c r="Z59" t="str" cm="1">
        <f t="array" ref="Z59">_xlfn.IFS(S59&lt;T59,"Less than 10",S59&lt;U59,"Bt 10 and 25",S59&lt;V59,"Between 25 and 50",S59&lt;W59,"Between 50 and 75",S59&lt;X59,"between 75 and 90",S59&gt;X59,"greater than 90")</f>
        <v>Bt 10 and 25</v>
      </c>
      <c r="AA59" s="30">
        <v>1340091.9595999999</v>
      </c>
      <c r="AB59" t="s">
        <v>25</v>
      </c>
    </row>
    <row r="60" spans="1:28" x14ac:dyDescent="0.35">
      <c r="A60" s="24">
        <v>36</v>
      </c>
      <c r="B60" s="24" t="s">
        <v>131</v>
      </c>
      <c r="C60" s="25" t="s">
        <v>132</v>
      </c>
      <c r="D60" s="24" t="s">
        <v>74</v>
      </c>
      <c r="E60" s="26" t="s">
        <v>64</v>
      </c>
      <c r="F60" s="26" t="s">
        <v>96</v>
      </c>
      <c r="G60" s="26" t="s">
        <v>66</v>
      </c>
      <c r="H60" s="26" t="s">
        <v>75</v>
      </c>
      <c r="I60" s="26" t="s">
        <v>76</v>
      </c>
      <c r="J60" s="26" t="s">
        <v>82</v>
      </c>
      <c r="K60" s="26" t="s">
        <v>133</v>
      </c>
      <c r="L60" s="26" t="s">
        <v>15</v>
      </c>
      <c r="M60" s="26" t="s">
        <v>133</v>
      </c>
      <c r="N60" s="26" t="s">
        <v>22</v>
      </c>
      <c r="O60" s="26" t="str">
        <f t="shared" si="0"/>
        <v>Data Science_P20</v>
      </c>
      <c r="P60" s="26" t="s">
        <v>71</v>
      </c>
      <c r="Q60" s="26">
        <v>10</v>
      </c>
      <c r="R60" s="26">
        <v>291</v>
      </c>
      <c r="S60" s="27">
        <v>1205439.6731999998</v>
      </c>
      <c r="T60" s="28">
        <v>931797</v>
      </c>
      <c r="U60" s="28">
        <v>1389560</v>
      </c>
      <c r="V60" s="29">
        <v>2103117</v>
      </c>
      <c r="W60" s="28">
        <v>2437500</v>
      </c>
      <c r="X60" s="28">
        <v>2683026</v>
      </c>
      <c r="Y60" t="s">
        <v>72</v>
      </c>
      <c r="Z60" t="str" cm="1">
        <f t="array" ref="Z60">_xlfn.IFS(S60&lt;T60,"Less than 10",S60&lt;U60,"Bt 10 and 25",S60&lt;V60,"Between 25 and 50",S60&lt;W60,"Between 50 and 75",S60&lt;X60,"between 75 and 90",S60&gt;X60,"greater than 90")</f>
        <v>Bt 10 and 25</v>
      </c>
      <c r="AA60" s="30">
        <v>1338036.9731999999</v>
      </c>
      <c r="AB60" t="s">
        <v>25</v>
      </c>
    </row>
    <row r="61" spans="1:28" x14ac:dyDescent="0.35">
      <c r="A61" s="24">
        <v>78</v>
      </c>
      <c r="B61" s="24" t="s">
        <v>140</v>
      </c>
      <c r="C61" s="25" t="s">
        <v>15</v>
      </c>
      <c r="D61" s="24" t="s">
        <v>111</v>
      </c>
      <c r="E61" s="26" t="s">
        <v>64</v>
      </c>
      <c r="F61" s="26" t="s">
        <v>65</v>
      </c>
      <c r="G61" s="26" t="s">
        <v>66</v>
      </c>
      <c r="H61" s="26" t="s">
        <v>117</v>
      </c>
      <c r="I61" s="26" t="s">
        <v>118</v>
      </c>
      <c r="J61" s="26" t="s">
        <v>119</v>
      </c>
      <c r="K61" s="26" t="s">
        <v>105</v>
      </c>
      <c r="L61" s="26" t="s">
        <v>12</v>
      </c>
      <c r="M61" s="26" t="s">
        <v>105</v>
      </c>
      <c r="N61" s="26" t="s">
        <v>23</v>
      </c>
      <c r="O61" s="26" t="str">
        <f t="shared" si="0"/>
        <v>Supply Chain Planning (Outsourcing &amp; Global Capability Centers)_M20</v>
      </c>
      <c r="P61" s="26" t="s">
        <v>120</v>
      </c>
      <c r="Q61" s="34">
        <v>11</v>
      </c>
      <c r="R61" s="34">
        <v>142</v>
      </c>
      <c r="S61" s="27">
        <v>1200000</v>
      </c>
      <c r="T61" s="34">
        <v>1492433</v>
      </c>
      <c r="U61" s="34">
        <v>1785280</v>
      </c>
      <c r="V61" s="29">
        <v>2640848</v>
      </c>
      <c r="W61" s="34">
        <v>3053579</v>
      </c>
      <c r="X61" s="34">
        <v>3241976</v>
      </c>
      <c r="Y61" t="s">
        <v>72</v>
      </c>
      <c r="Z61" t="str" cm="1">
        <f t="array" ref="Z61">_xlfn.IFS(S61&lt;T61,"Less than 10",S61&lt;U61,"Bt 10 and 25",S61&lt;V61,"Between 25 and 50",S61&lt;W61,"Between 50 and 75",S61&lt;X61,"between 75 and 90",S61&gt;X61,"greater than 90")</f>
        <v>Less than 10</v>
      </c>
      <c r="AA61" s="30">
        <v>1332000</v>
      </c>
      <c r="AB61" t="s">
        <v>25</v>
      </c>
    </row>
    <row r="62" spans="1:28" x14ac:dyDescent="0.35">
      <c r="A62" s="24">
        <v>39</v>
      </c>
      <c r="B62" s="24" t="s">
        <v>140</v>
      </c>
      <c r="C62" s="25" t="s">
        <v>15</v>
      </c>
      <c r="D62" s="24" t="s">
        <v>111</v>
      </c>
      <c r="E62" s="26" t="s">
        <v>64</v>
      </c>
      <c r="F62" s="26" t="s">
        <v>65</v>
      </c>
      <c r="G62" s="26" t="s">
        <v>66</v>
      </c>
      <c r="H62" s="26" t="s">
        <v>117</v>
      </c>
      <c r="I62" s="26" t="s">
        <v>118</v>
      </c>
      <c r="J62" s="26" t="s">
        <v>119</v>
      </c>
      <c r="K62" s="26" t="s">
        <v>105</v>
      </c>
      <c r="L62" s="26" t="s">
        <v>12</v>
      </c>
      <c r="M62" s="26" t="s">
        <v>105</v>
      </c>
      <c r="N62" s="26" t="s">
        <v>23</v>
      </c>
      <c r="O62" s="26" t="str">
        <f t="shared" si="0"/>
        <v>Supply Chain Planning (Outsourcing &amp; Global Capability Centers)_M20</v>
      </c>
      <c r="P62" s="26" t="s">
        <v>120</v>
      </c>
      <c r="Q62" s="34">
        <v>11</v>
      </c>
      <c r="R62" s="34">
        <v>142</v>
      </c>
      <c r="S62" s="27">
        <v>1178399.1359999999</v>
      </c>
      <c r="T62" s="34">
        <v>1492433</v>
      </c>
      <c r="U62" s="34">
        <v>1785280</v>
      </c>
      <c r="V62" s="29">
        <v>2640848</v>
      </c>
      <c r="W62" s="34">
        <v>3053579</v>
      </c>
      <c r="X62" s="34">
        <v>3241976</v>
      </c>
      <c r="Y62" t="s">
        <v>72</v>
      </c>
      <c r="Z62" t="str" cm="1">
        <f t="array" ref="Z62">_xlfn.IFS(S62&lt;T62,"Less than 10",S62&lt;U62,"Bt 10 and 25",S62&lt;V62,"Between 25 and 50",S62&lt;W62,"Between 50 and 75",S62&lt;X62,"between 75 and 90",S62&gt;X62,"greater than 90")</f>
        <v>Less than 10</v>
      </c>
      <c r="AA62" s="30">
        <v>1308020.716</v>
      </c>
      <c r="AB62" t="s">
        <v>25</v>
      </c>
    </row>
    <row r="63" spans="1:28" x14ac:dyDescent="0.35">
      <c r="A63" s="24">
        <v>71</v>
      </c>
      <c r="B63" s="24" t="s">
        <v>141</v>
      </c>
      <c r="C63" s="25" t="s">
        <v>13</v>
      </c>
      <c r="D63" s="24" t="s">
        <v>85</v>
      </c>
      <c r="E63" s="26" t="s">
        <v>64</v>
      </c>
      <c r="F63" s="26" t="s">
        <v>96</v>
      </c>
      <c r="G63" s="26" t="s">
        <v>66</v>
      </c>
      <c r="H63" s="26" t="s">
        <v>86</v>
      </c>
      <c r="I63" s="26" t="s">
        <v>87</v>
      </c>
      <c r="J63" s="26" t="s">
        <v>88</v>
      </c>
      <c r="K63" s="26" t="s">
        <v>107</v>
      </c>
      <c r="L63" s="26" t="s">
        <v>13</v>
      </c>
      <c r="M63" s="26" t="s">
        <v>107</v>
      </c>
      <c r="N63" s="26" t="s">
        <v>22</v>
      </c>
      <c r="O63" s="26" t="str">
        <f t="shared" si="0"/>
        <v>Financial Planning &amp; Analysis_P10</v>
      </c>
      <c r="P63" s="26" t="s">
        <v>89</v>
      </c>
      <c r="Q63" s="34" t="s">
        <v>80</v>
      </c>
      <c r="R63" s="34" t="s">
        <v>80</v>
      </c>
      <c r="S63" s="27">
        <v>1150000</v>
      </c>
      <c r="T63" s="34"/>
      <c r="U63" s="34"/>
      <c r="V63" s="29"/>
      <c r="W63" s="34"/>
      <c r="X63" s="34"/>
      <c r="Y63" t="s">
        <v>72</v>
      </c>
      <c r="Z63" s="31" t="s">
        <v>80</v>
      </c>
      <c r="AA63" s="30">
        <v>1276500</v>
      </c>
    </row>
    <row r="64" spans="1:28" x14ac:dyDescent="0.35">
      <c r="A64" s="24">
        <v>113</v>
      </c>
      <c r="B64" s="24" t="s">
        <v>142</v>
      </c>
      <c r="C64" s="25" t="s">
        <v>132</v>
      </c>
      <c r="D64" s="24" t="s">
        <v>74</v>
      </c>
      <c r="E64" s="26" t="s">
        <v>64</v>
      </c>
      <c r="F64" s="26" t="s">
        <v>96</v>
      </c>
      <c r="G64" s="26" t="s">
        <v>66</v>
      </c>
      <c r="H64" s="26" t="s">
        <v>75</v>
      </c>
      <c r="I64" s="26" t="s">
        <v>76</v>
      </c>
      <c r="J64" s="26" t="s">
        <v>77</v>
      </c>
      <c r="K64" s="26" t="s">
        <v>133</v>
      </c>
      <c r="L64" s="26" t="s">
        <v>15</v>
      </c>
      <c r="M64" s="26" t="s">
        <v>133</v>
      </c>
      <c r="N64" s="26" t="s">
        <v>22</v>
      </c>
      <c r="O64" s="26" t="str">
        <f t="shared" si="0"/>
        <v>Business Intelligence (BI) Data Analysis_P20</v>
      </c>
      <c r="P64" s="26" t="s">
        <v>71</v>
      </c>
      <c r="Q64" s="26">
        <v>8</v>
      </c>
      <c r="R64" s="26">
        <v>976</v>
      </c>
      <c r="S64" s="27">
        <v>1150000</v>
      </c>
      <c r="T64" s="28"/>
      <c r="U64" s="28">
        <v>1027612</v>
      </c>
      <c r="V64" s="29">
        <v>1129322</v>
      </c>
      <c r="W64" s="28">
        <v>2191388</v>
      </c>
      <c r="X64" s="28"/>
      <c r="Y64" t="s">
        <v>72</v>
      </c>
      <c r="Z64" s="33" t="str" cm="1">
        <f t="array" ref="Z64">_xlfn.IFS(S64&lt;U64,"Bt 10 and 25",S64&lt;V64,"Between 25 and 50",S64&lt;W64,"Between 50 and 75")</f>
        <v>Between 50 and 75</v>
      </c>
      <c r="AA64" s="30">
        <v>1276500</v>
      </c>
      <c r="AB64" s="32" t="s">
        <v>27</v>
      </c>
    </row>
    <row r="65" spans="1:28" x14ac:dyDescent="0.35">
      <c r="A65" s="24">
        <v>64</v>
      </c>
      <c r="B65" s="24" t="s">
        <v>142</v>
      </c>
      <c r="C65" s="25" t="s">
        <v>132</v>
      </c>
      <c r="D65" s="24" t="s">
        <v>74</v>
      </c>
      <c r="E65" s="26" t="s">
        <v>64</v>
      </c>
      <c r="F65" s="26" t="s">
        <v>96</v>
      </c>
      <c r="G65" s="26" t="s">
        <v>66</v>
      </c>
      <c r="H65" s="26" t="s">
        <v>75</v>
      </c>
      <c r="I65" s="26" t="s">
        <v>76</v>
      </c>
      <c r="J65" s="26" t="s">
        <v>77</v>
      </c>
      <c r="K65" s="26" t="s">
        <v>133</v>
      </c>
      <c r="L65" s="26" t="s">
        <v>15</v>
      </c>
      <c r="M65" s="26" t="s">
        <v>133</v>
      </c>
      <c r="N65" s="26" t="s">
        <v>22</v>
      </c>
      <c r="O65" s="26" t="str">
        <f t="shared" si="0"/>
        <v>Business Intelligence (BI) Data Analysis_P20</v>
      </c>
      <c r="P65" s="26" t="s">
        <v>71</v>
      </c>
      <c r="Q65" s="26">
        <v>8</v>
      </c>
      <c r="R65" s="26">
        <v>976</v>
      </c>
      <c r="S65" s="27">
        <v>1100000</v>
      </c>
      <c r="T65" s="28"/>
      <c r="U65" s="28">
        <v>1027612</v>
      </c>
      <c r="V65" s="29">
        <v>1129322</v>
      </c>
      <c r="W65" s="28">
        <v>2191388</v>
      </c>
      <c r="X65" s="28"/>
      <c r="Y65" t="s">
        <v>72</v>
      </c>
      <c r="Z65" s="33" t="str" cm="1">
        <f t="array" ref="Z65">_xlfn.IFS(S65&lt;U65,"Bt 10 and 25",S65&lt;V65,"Between 25 and 50",S65&lt;W65,"Between 50 and 75")</f>
        <v>Between 25 and 50</v>
      </c>
      <c r="AA65" s="30">
        <v>1221000</v>
      </c>
      <c r="AB65" s="32" t="s">
        <v>26</v>
      </c>
    </row>
    <row r="66" spans="1:28" x14ac:dyDescent="0.35">
      <c r="A66" s="24">
        <v>108</v>
      </c>
      <c r="B66" s="24" t="s">
        <v>143</v>
      </c>
      <c r="C66" s="25" t="s">
        <v>13</v>
      </c>
      <c r="D66" s="24" t="s">
        <v>111</v>
      </c>
      <c r="E66" s="26" t="s">
        <v>64</v>
      </c>
      <c r="F66" s="26" t="s">
        <v>96</v>
      </c>
      <c r="G66" s="26" t="s">
        <v>66</v>
      </c>
      <c r="H66" s="26" t="s">
        <v>75</v>
      </c>
      <c r="I66" s="26" t="s">
        <v>76</v>
      </c>
      <c r="J66" s="26" t="s">
        <v>77</v>
      </c>
      <c r="K66" s="26" t="s">
        <v>107</v>
      </c>
      <c r="L66" s="26" t="s">
        <v>13</v>
      </c>
      <c r="M66" s="26" t="s">
        <v>107</v>
      </c>
      <c r="N66" s="26" t="s">
        <v>22</v>
      </c>
      <c r="O66" s="26" t="str">
        <f t="shared" ref="O66:O116" si="1">J66&amp;"_"&amp;K66</f>
        <v>Business Intelligence (BI) Data Analysis_P10</v>
      </c>
      <c r="P66" s="26" t="s">
        <v>71</v>
      </c>
      <c r="Q66" s="26">
        <v>4</v>
      </c>
      <c r="R66" s="26">
        <v>774</v>
      </c>
      <c r="S66" s="27">
        <v>1100000</v>
      </c>
      <c r="T66" s="28"/>
      <c r="U66" s="28"/>
      <c r="V66" s="29">
        <v>776839</v>
      </c>
      <c r="W66" s="28"/>
      <c r="X66" s="28"/>
      <c r="Y66" t="s">
        <v>72</v>
      </c>
      <c r="Z66" s="31" t="s">
        <v>80</v>
      </c>
      <c r="AA66" s="30">
        <v>1221000</v>
      </c>
    </row>
    <row r="67" spans="1:28" x14ac:dyDescent="0.35">
      <c r="A67" s="24">
        <v>87</v>
      </c>
      <c r="B67" s="24" t="s">
        <v>142</v>
      </c>
      <c r="C67" s="25" t="s">
        <v>132</v>
      </c>
      <c r="D67" s="24" t="s">
        <v>74</v>
      </c>
      <c r="E67" s="26" t="s">
        <v>64</v>
      </c>
      <c r="F67" s="26" t="s">
        <v>96</v>
      </c>
      <c r="G67" s="26" t="s">
        <v>66</v>
      </c>
      <c r="H67" s="26" t="s">
        <v>75</v>
      </c>
      <c r="I67" s="26" t="s">
        <v>76</v>
      </c>
      <c r="J67" s="26" t="s">
        <v>77</v>
      </c>
      <c r="K67" s="26" t="s">
        <v>133</v>
      </c>
      <c r="L67" s="26" t="s">
        <v>15</v>
      </c>
      <c r="M67" s="26" t="s">
        <v>133</v>
      </c>
      <c r="N67" s="26" t="s">
        <v>22</v>
      </c>
      <c r="O67" s="26" t="str">
        <f t="shared" si="1"/>
        <v>Business Intelligence (BI) Data Analysis_P20</v>
      </c>
      <c r="P67" s="26" t="s">
        <v>71</v>
      </c>
      <c r="Q67" s="26">
        <v>8</v>
      </c>
      <c r="R67" s="26">
        <v>976</v>
      </c>
      <c r="S67" s="27">
        <v>1090250.4099999999</v>
      </c>
      <c r="T67" s="28"/>
      <c r="U67" s="28">
        <v>1027612</v>
      </c>
      <c r="V67" s="29">
        <v>1129322</v>
      </c>
      <c r="W67" s="28">
        <v>2191388</v>
      </c>
      <c r="X67" s="28"/>
      <c r="Y67" t="s">
        <v>72</v>
      </c>
      <c r="Z67" s="33" t="str" cm="1">
        <f t="array" ref="Z67">_xlfn.IFS(S67&lt;U67,"Bt 10 and 25",S67&lt;V67,"Between 25 and 50",S67&lt;W67,"Between 50 and 75")</f>
        <v>Between 25 and 50</v>
      </c>
      <c r="AA67" s="30">
        <v>1210178.4099999999</v>
      </c>
      <c r="AB67" s="32" t="s">
        <v>26</v>
      </c>
    </row>
    <row r="68" spans="1:28" x14ac:dyDescent="0.35">
      <c r="A68" s="24">
        <v>107</v>
      </c>
      <c r="B68" s="24" t="s">
        <v>144</v>
      </c>
      <c r="C68" s="25" t="s">
        <v>15</v>
      </c>
      <c r="D68" s="24" t="s">
        <v>111</v>
      </c>
      <c r="E68" s="26" t="s">
        <v>64</v>
      </c>
      <c r="F68" s="26" t="s">
        <v>65</v>
      </c>
      <c r="G68" s="26" t="s">
        <v>66</v>
      </c>
      <c r="H68" s="26" t="s">
        <v>117</v>
      </c>
      <c r="I68" s="26" t="s">
        <v>145</v>
      </c>
      <c r="J68" s="26" t="s">
        <v>146</v>
      </c>
      <c r="K68" s="26" t="s">
        <v>147</v>
      </c>
      <c r="L68" s="26" t="s">
        <v>15</v>
      </c>
      <c r="M68" s="26" t="s">
        <v>147</v>
      </c>
      <c r="N68" s="26" t="s">
        <v>23</v>
      </c>
      <c r="O68" s="26" t="str">
        <f t="shared" si="1"/>
        <v>Accounts Payable/Receivable (Outsourcing &amp; Global Capability Centers)_M10</v>
      </c>
      <c r="P68" s="26" t="s">
        <v>120</v>
      </c>
      <c r="Q68" s="34">
        <v>12</v>
      </c>
      <c r="R68" s="34">
        <v>373</v>
      </c>
      <c r="S68" s="27">
        <v>1081079.9791999999</v>
      </c>
      <c r="T68" s="34">
        <v>970371</v>
      </c>
      <c r="U68" s="34">
        <v>1086219</v>
      </c>
      <c r="V68" s="29">
        <v>1197238</v>
      </c>
      <c r="W68" s="34">
        <v>1549836</v>
      </c>
      <c r="X68" s="34">
        <v>1840422</v>
      </c>
      <c r="Y68" t="s">
        <v>79</v>
      </c>
      <c r="Z68" t="str" cm="1">
        <f t="array" ref="Z68">_xlfn.IFS(S68&lt;T68,"Less than 10",S68&lt;U68,"Bt 10 and 25",S68&lt;V68,"Between 25 and 50",S68&lt;W68,"Between 50 and 75",S68&lt;X68,"between 75 and 90",S68&gt;X68,"greater than 90")</f>
        <v>Bt 10 and 25</v>
      </c>
      <c r="AA68" s="30">
        <v>1199999.9791999999</v>
      </c>
      <c r="AB68" t="s">
        <v>25</v>
      </c>
    </row>
    <row r="69" spans="1:28" x14ac:dyDescent="0.35">
      <c r="A69" s="24">
        <v>41</v>
      </c>
      <c r="B69" s="24" t="s">
        <v>148</v>
      </c>
      <c r="C69" s="25" t="s">
        <v>17</v>
      </c>
      <c r="D69" s="24" t="s">
        <v>111</v>
      </c>
      <c r="E69" s="26" t="s">
        <v>64</v>
      </c>
      <c r="F69" s="26" t="s">
        <v>96</v>
      </c>
      <c r="G69" s="26" t="s">
        <v>66</v>
      </c>
      <c r="H69" s="26" t="s">
        <v>117</v>
      </c>
      <c r="I69" s="26" t="s">
        <v>118</v>
      </c>
      <c r="J69" s="26" t="s">
        <v>119</v>
      </c>
      <c r="K69" s="26" t="s">
        <v>107</v>
      </c>
      <c r="L69" s="26" t="s">
        <v>13</v>
      </c>
      <c r="M69" s="26" t="s">
        <v>107</v>
      </c>
      <c r="N69" s="26" t="s">
        <v>22</v>
      </c>
      <c r="O69" s="26" t="str">
        <f t="shared" si="1"/>
        <v>Supply Chain Planning (Outsourcing &amp; Global Capability Centers)_P10</v>
      </c>
      <c r="P69" s="26" t="s">
        <v>120</v>
      </c>
      <c r="Q69" s="34">
        <v>9</v>
      </c>
      <c r="R69" s="34">
        <v>409</v>
      </c>
      <c r="S69" s="27">
        <v>1026594.024</v>
      </c>
      <c r="T69" s="34"/>
      <c r="U69" s="34">
        <v>385732</v>
      </c>
      <c r="V69" s="29">
        <v>564526</v>
      </c>
      <c r="W69" s="34">
        <v>729905</v>
      </c>
      <c r="X69" s="34"/>
      <c r="Y69" t="s">
        <v>79</v>
      </c>
      <c r="Z69" s="31" t="s">
        <v>80</v>
      </c>
      <c r="AA69" s="30">
        <v>1139517.3840000001</v>
      </c>
      <c r="AB69" s="32" t="s">
        <v>28</v>
      </c>
    </row>
    <row r="70" spans="1:28" x14ac:dyDescent="0.35">
      <c r="A70" s="24">
        <v>69</v>
      </c>
      <c r="B70" s="24" t="s">
        <v>149</v>
      </c>
      <c r="C70" s="25" t="s">
        <v>13</v>
      </c>
      <c r="D70" s="24" t="s">
        <v>150</v>
      </c>
      <c r="E70" s="26" t="s">
        <v>64</v>
      </c>
      <c r="F70" s="26" t="s">
        <v>96</v>
      </c>
      <c r="G70" s="26" t="s">
        <v>66</v>
      </c>
      <c r="H70" s="26" t="s">
        <v>151</v>
      </c>
      <c r="I70" s="26" t="s">
        <v>152</v>
      </c>
      <c r="J70" s="26" t="s">
        <v>153</v>
      </c>
      <c r="K70" s="26" t="s">
        <v>107</v>
      </c>
      <c r="L70" s="26" t="s">
        <v>13</v>
      </c>
      <c r="M70" s="26" t="s">
        <v>107</v>
      </c>
      <c r="N70" s="26" t="s">
        <v>22</v>
      </c>
      <c r="O70" s="26" t="str">
        <f t="shared" si="1"/>
        <v>General Office Administration &amp; Secretarial Management_P10</v>
      </c>
      <c r="P70" s="26" t="s">
        <v>89</v>
      </c>
      <c r="Q70" s="34">
        <v>7</v>
      </c>
      <c r="R70" s="34">
        <v>55</v>
      </c>
      <c r="S70" s="27">
        <v>950000</v>
      </c>
      <c r="T70" s="34"/>
      <c r="U70" s="34">
        <v>503176</v>
      </c>
      <c r="V70" s="29">
        <v>631792</v>
      </c>
      <c r="W70" s="34">
        <v>698395</v>
      </c>
      <c r="X70" s="34"/>
      <c r="Y70" t="s">
        <v>72</v>
      </c>
      <c r="Z70" s="31" t="s">
        <v>80</v>
      </c>
      <c r="AA70" s="30">
        <v>1054500</v>
      </c>
      <c r="AB70" s="32" t="s">
        <v>28</v>
      </c>
    </row>
    <row r="71" spans="1:28" x14ac:dyDescent="0.35">
      <c r="A71" s="24">
        <v>88</v>
      </c>
      <c r="B71" s="24" t="s">
        <v>154</v>
      </c>
      <c r="C71" s="25" t="s">
        <v>13</v>
      </c>
      <c r="D71" s="24" t="s">
        <v>111</v>
      </c>
      <c r="E71" s="26" t="s">
        <v>64</v>
      </c>
      <c r="F71" s="26" t="s">
        <v>96</v>
      </c>
      <c r="G71" s="26" t="s">
        <v>66</v>
      </c>
      <c r="H71" s="26" t="s">
        <v>112</v>
      </c>
      <c r="I71" s="26" t="s">
        <v>136</v>
      </c>
      <c r="J71" s="26" t="s">
        <v>137</v>
      </c>
      <c r="K71" s="26" t="s">
        <v>107</v>
      </c>
      <c r="L71" s="26" t="s">
        <v>13</v>
      </c>
      <c r="M71" s="26" t="s">
        <v>107</v>
      </c>
      <c r="N71" s="26" t="s">
        <v>22</v>
      </c>
      <c r="O71" s="26" t="str">
        <f t="shared" si="1"/>
        <v>General IT User Support_P10</v>
      </c>
      <c r="P71" s="26" t="s">
        <v>71</v>
      </c>
      <c r="Q71" s="26">
        <v>7</v>
      </c>
      <c r="R71" s="26">
        <v>662</v>
      </c>
      <c r="S71" s="27">
        <v>900900.31595999992</v>
      </c>
      <c r="T71" s="28"/>
      <c r="U71" s="28">
        <v>389022</v>
      </c>
      <c r="V71" s="29">
        <v>586529</v>
      </c>
      <c r="W71" s="28">
        <v>707423</v>
      </c>
      <c r="X71" s="28"/>
      <c r="Y71" t="s">
        <v>72</v>
      </c>
      <c r="Z71" s="31" t="s">
        <v>80</v>
      </c>
      <c r="AA71" s="30">
        <v>1000000.3159599999</v>
      </c>
      <c r="AB71" s="32" t="s">
        <v>28</v>
      </c>
    </row>
    <row r="72" spans="1:28" x14ac:dyDescent="0.35">
      <c r="A72" s="24">
        <v>43</v>
      </c>
      <c r="B72" s="24" t="s">
        <v>148</v>
      </c>
      <c r="C72" s="25" t="s">
        <v>17</v>
      </c>
      <c r="D72" s="24" t="s">
        <v>111</v>
      </c>
      <c r="E72" s="26" t="s">
        <v>64</v>
      </c>
      <c r="F72" s="26" t="s">
        <v>96</v>
      </c>
      <c r="G72" s="26" t="s">
        <v>66</v>
      </c>
      <c r="H72" s="26" t="s">
        <v>117</v>
      </c>
      <c r="I72" s="26" t="s">
        <v>118</v>
      </c>
      <c r="J72" s="26" t="s">
        <v>119</v>
      </c>
      <c r="K72" s="26" t="s">
        <v>107</v>
      </c>
      <c r="L72" s="26" t="s">
        <v>13</v>
      </c>
      <c r="M72" s="26" t="s">
        <v>107</v>
      </c>
      <c r="N72" s="26" t="s">
        <v>22</v>
      </c>
      <c r="O72" s="26" t="str">
        <f t="shared" si="1"/>
        <v>Supply Chain Planning (Outsourcing &amp; Global Capability Centers)_P10</v>
      </c>
      <c r="P72" s="26" t="s">
        <v>120</v>
      </c>
      <c r="Q72" s="34">
        <v>9</v>
      </c>
      <c r="R72" s="34">
        <v>409</v>
      </c>
      <c r="S72" s="27">
        <v>763990.97519999999</v>
      </c>
      <c r="T72" s="34"/>
      <c r="U72" s="34">
        <v>385732</v>
      </c>
      <c r="V72" s="29">
        <v>564526</v>
      </c>
      <c r="W72" s="34">
        <v>729905</v>
      </c>
      <c r="X72" s="34"/>
      <c r="Y72" t="s">
        <v>72</v>
      </c>
      <c r="Z72" s="31" t="s">
        <v>80</v>
      </c>
      <c r="AA72" s="30">
        <v>848027.01520000002</v>
      </c>
      <c r="AB72" s="32" t="s">
        <v>28</v>
      </c>
    </row>
    <row r="73" spans="1:28" x14ac:dyDescent="0.35">
      <c r="A73" s="24">
        <v>116</v>
      </c>
      <c r="B73" s="24" t="s">
        <v>148</v>
      </c>
      <c r="C73" s="25" t="s">
        <v>17</v>
      </c>
      <c r="D73" s="24" t="s">
        <v>111</v>
      </c>
      <c r="E73" s="26" t="s">
        <v>64</v>
      </c>
      <c r="F73" s="26" t="s">
        <v>96</v>
      </c>
      <c r="G73" s="26" t="s">
        <v>66</v>
      </c>
      <c r="H73" s="26" t="s">
        <v>117</v>
      </c>
      <c r="I73" s="26" t="s">
        <v>118</v>
      </c>
      <c r="J73" s="26" t="s">
        <v>119</v>
      </c>
      <c r="K73" s="26" t="s">
        <v>107</v>
      </c>
      <c r="L73" s="26" t="s">
        <v>13</v>
      </c>
      <c r="M73" s="26" t="s">
        <v>107</v>
      </c>
      <c r="N73" s="26" t="s">
        <v>22</v>
      </c>
      <c r="O73" s="26" t="str">
        <f t="shared" si="1"/>
        <v>Supply Chain Planning (Outsourcing &amp; Global Capability Centers)_P10</v>
      </c>
      <c r="P73" s="26" t="s">
        <v>120</v>
      </c>
      <c r="Q73" s="34">
        <v>9</v>
      </c>
      <c r="R73" s="34">
        <v>409</v>
      </c>
      <c r="S73" s="27">
        <v>743242.98569999996</v>
      </c>
      <c r="T73" s="34"/>
      <c r="U73" s="34">
        <v>385732</v>
      </c>
      <c r="V73" s="29">
        <v>564526</v>
      </c>
      <c r="W73" s="34">
        <v>729905</v>
      </c>
      <c r="X73" s="34"/>
      <c r="Y73" t="s">
        <v>72</v>
      </c>
      <c r="Z73" s="31" t="s">
        <v>80</v>
      </c>
      <c r="AA73" s="30">
        <v>824999.98569999996</v>
      </c>
      <c r="AB73" s="32" t="s">
        <v>28</v>
      </c>
    </row>
    <row r="74" spans="1:28" x14ac:dyDescent="0.35">
      <c r="A74" s="24">
        <v>94</v>
      </c>
      <c r="B74" s="24" t="s">
        <v>142</v>
      </c>
      <c r="C74" s="25" t="s">
        <v>132</v>
      </c>
      <c r="D74" s="24" t="s">
        <v>74</v>
      </c>
      <c r="E74" s="26" t="s">
        <v>64</v>
      </c>
      <c r="F74" s="26" t="s">
        <v>96</v>
      </c>
      <c r="G74" s="26" t="s">
        <v>66</v>
      </c>
      <c r="H74" s="26" t="s">
        <v>75</v>
      </c>
      <c r="I74" s="26" t="s">
        <v>76</v>
      </c>
      <c r="J74" s="26" t="s">
        <v>77</v>
      </c>
      <c r="K74" s="26" t="s">
        <v>133</v>
      </c>
      <c r="L74" s="26" t="s">
        <v>15</v>
      </c>
      <c r="M74" s="26" t="s">
        <v>133</v>
      </c>
      <c r="N74" s="26" t="s">
        <v>22</v>
      </c>
      <c r="O74" s="26" t="str">
        <f t="shared" si="1"/>
        <v>Business Intelligence (BI) Data Analysis_P20</v>
      </c>
      <c r="P74" s="26" t="s">
        <v>71</v>
      </c>
      <c r="Q74" s="26">
        <v>8</v>
      </c>
      <c r="R74" s="26">
        <v>976</v>
      </c>
      <c r="S74" s="27">
        <v>700000</v>
      </c>
      <c r="T74" s="28"/>
      <c r="U74" s="28">
        <v>1027612</v>
      </c>
      <c r="V74" s="29">
        <v>1129322</v>
      </c>
      <c r="W74" s="28">
        <v>2191388</v>
      </c>
      <c r="X74" s="28"/>
      <c r="Y74" t="s">
        <v>72</v>
      </c>
      <c r="Z74" s="31" t="s">
        <v>80</v>
      </c>
      <c r="AA74" s="30">
        <v>777000</v>
      </c>
      <c r="AB74" s="32" t="s">
        <v>25</v>
      </c>
    </row>
    <row r="75" spans="1:28" x14ac:dyDescent="0.35">
      <c r="A75" s="24">
        <v>40</v>
      </c>
      <c r="B75" s="24" t="s">
        <v>155</v>
      </c>
      <c r="C75" s="25" t="s">
        <v>13</v>
      </c>
      <c r="D75" s="24" t="s">
        <v>111</v>
      </c>
      <c r="E75" s="26" t="s">
        <v>64</v>
      </c>
      <c r="F75" s="26" t="s">
        <v>96</v>
      </c>
      <c r="G75" s="26" t="s">
        <v>66</v>
      </c>
      <c r="H75" s="26" t="s">
        <v>75</v>
      </c>
      <c r="I75" s="26" t="s">
        <v>76</v>
      </c>
      <c r="J75" s="26" t="s">
        <v>156</v>
      </c>
      <c r="K75" s="26" t="s">
        <v>107</v>
      </c>
      <c r="L75" s="26" t="s">
        <v>13</v>
      </c>
      <c r="M75" s="26" t="s">
        <v>107</v>
      </c>
      <c r="N75" s="26" t="s">
        <v>22</v>
      </c>
      <c r="O75" s="26" t="str">
        <f t="shared" si="1"/>
        <v>Data Analytics_P10</v>
      </c>
      <c r="P75" s="26" t="s">
        <v>71</v>
      </c>
      <c r="Q75" s="26">
        <v>5</v>
      </c>
      <c r="R75" s="26">
        <v>2861</v>
      </c>
      <c r="S75" s="27">
        <v>675676</v>
      </c>
      <c r="T75" s="28"/>
      <c r="U75" s="28">
        <v>647231</v>
      </c>
      <c r="V75" s="29">
        <v>818176</v>
      </c>
      <c r="W75" s="28">
        <v>1283737</v>
      </c>
      <c r="X75" s="28"/>
      <c r="Y75" t="s">
        <v>72</v>
      </c>
      <c r="Z75" s="33" t="str" cm="1">
        <f t="array" ref="Z75">_xlfn.IFS(S75&lt;U75,"Bt 10 and 25",S75&lt;V75,"Between 25 and 50",S75&lt;W75,"Between 50 and 75")</f>
        <v>Between 25 and 50</v>
      </c>
      <c r="AA75" s="30">
        <v>750000.36</v>
      </c>
      <c r="AB75" s="32" t="s">
        <v>26</v>
      </c>
    </row>
    <row r="76" spans="1:28" x14ac:dyDescent="0.35">
      <c r="A76" s="24">
        <v>42</v>
      </c>
      <c r="B76" s="24" t="s">
        <v>148</v>
      </c>
      <c r="C76" s="25" t="s">
        <v>17</v>
      </c>
      <c r="D76" s="24" t="s">
        <v>111</v>
      </c>
      <c r="E76" s="26" t="s">
        <v>64</v>
      </c>
      <c r="F76" s="26" t="s">
        <v>96</v>
      </c>
      <c r="G76" s="26" t="s">
        <v>66</v>
      </c>
      <c r="H76" s="26" t="s">
        <v>117</v>
      </c>
      <c r="I76" s="26" t="s">
        <v>118</v>
      </c>
      <c r="J76" s="26" t="s">
        <v>119</v>
      </c>
      <c r="K76" s="26" t="s">
        <v>107</v>
      </c>
      <c r="L76" s="26" t="s">
        <v>13</v>
      </c>
      <c r="M76" s="26" t="s">
        <v>107</v>
      </c>
      <c r="N76" s="26" t="s">
        <v>22</v>
      </c>
      <c r="O76" s="26" t="str">
        <f t="shared" si="1"/>
        <v>Supply Chain Planning (Outsourcing &amp; Global Capability Centers)_P10</v>
      </c>
      <c r="P76" s="26" t="s">
        <v>120</v>
      </c>
      <c r="Q76" s="34">
        <v>9</v>
      </c>
      <c r="R76" s="34">
        <v>409</v>
      </c>
      <c r="S76" s="27">
        <v>638306.44440000004</v>
      </c>
      <c r="T76" s="34"/>
      <c r="U76" s="34">
        <v>385732</v>
      </c>
      <c r="V76" s="29">
        <v>564526</v>
      </c>
      <c r="W76" s="34">
        <v>729905</v>
      </c>
      <c r="X76" s="34"/>
      <c r="Y76" t="s">
        <v>72</v>
      </c>
      <c r="Z76" s="33" t="str" cm="1">
        <f t="array" ref="Z76">_xlfn.IFS(S76&lt;U76,"Bt 10 and 25",S76&lt;V76,"Between 25 and 50",S76&lt;W76,"Between 50 and 75")</f>
        <v>Between 50 and 75</v>
      </c>
      <c r="AA76" s="30">
        <v>708518.23440000007</v>
      </c>
      <c r="AB76" s="32" t="s">
        <v>27</v>
      </c>
    </row>
    <row r="77" spans="1:28" x14ac:dyDescent="0.35">
      <c r="A77" s="24">
        <v>80</v>
      </c>
      <c r="B77" s="24" t="s">
        <v>157</v>
      </c>
      <c r="C77" s="25" t="s">
        <v>13</v>
      </c>
      <c r="D77" s="24" t="s">
        <v>111</v>
      </c>
      <c r="E77" s="26" t="s">
        <v>64</v>
      </c>
      <c r="F77" s="26" t="s">
        <v>96</v>
      </c>
      <c r="G77" s="26" t="s">
        <v>66</v>
      </c>
      <c r="H77" s="26" t="s">
        <v>75</v>
      </c>
      <c r="I77" s="26" t="s">
        <v>76</v>
      </c>
      <c r="J77" s="26" t="s">
        <v>156</v>
      </c>
      <c r="K77" s="26" t="s">
        <v>107</v>
      </c>
      <c r="L77" s="26" t="s">
        <v>13</v>
      </c>
      <c r="M77" s="26" t="s">
        <v>107</v>
      </c>
      <c r="N77" s="26" t="s">
        <v>22</v>
      </c>
      <c r="O77" s="26" t="str">
        <f t="shared" si="1"/>
        <v>Data Analytics_P10</v>
      </c>
      <c r="P77" s="26" t="s">
        <v>71</v>
      </c>
      <c r="Q77" s="26">
        <v>5</v>
      </c>
      <c r="R77" s="26">
        <v>2861</v>
      </c>
      <c r="S77" s="27">
        <v>630630.32120000001</v>
      </c>
      <c r="T77" s="28"/>
      <c r="U77" s="28">
        <v>647231</v>
      </c>
      <c r="V77" s="29">
        <v>818176</v>
      </c>
      <c r="W77" s="28">
        <v>1283737</v>
      </c>
      <c r="X77" s="28"/>
      <c r="Y77" t="s">
        <v>79</v>
      </c>
      <c r="Z77" s="33" t="str" cm="1">
        <f t="array" ref="Z77">_xlfn.IFS(S77&lt;U77,"Bt 10 and 25",S77&lt;V77,"Between 25 and 50",S77&lt;W77,"Between 50 and 75")</f>
        <v>Bt 10 and 25</v>
      </c>
      <c r="AA77" s="30">
        <v>700000.32120000001</v>
      </c>
      <c r="AB77" s="32" t="s">
        <v>25</v>
      </c>
    </row>
    <row r="78" spans="1:28" x14ac:dyDescent="0.35">
      <c r="A78" s="24">
        <v>101</v>
      </c>
      <c r="B78" s="24" t="s">
        <v>158</v>
      </c>
      <c r="C78" s="25" t="s">
        <v>17</v>
      </c>
      <c r="D78" s="24" t="s">
        <v>111</v>
      </c>
      <c r="E78" s="26" t="s">
        <v>64</v>
      </c>
      <c r="F78" s="26" t="s">
        <v>96</v>
      </c>
      <c r="G78" s="26" t="s">
        <v>66</v>
      </c>
      <c r="H78" s="26" t="s">
        <v>117</v>
      </c>
      <c r="I78" s="26" t="s">
        <v>118</v>
      </c>
      <c r="J78" s="26" t="s">
        <v>119</v>
      </c>
      <c r="K78" s="26" t="s">
        <v>107</v>
      </c>
      <c r="L78" s="26" t="s">
        <v>13</v>
      </c>
      <c r="M78" s="26" t="s">
        <v>107</v>
      </c>
      <c r="N78" s="26" t="s">
        <v>22</v>
      </c>
      <c r="O78" s="26" t="str">
        <f t="shared" si="1"/>
        <v>Supply Chain Planning (Outsourcing &amp; Global Capability Centers)_P10</v>
      </c>
      <c r="P78" s="26" t="s">
        <v>120</v>
      </c>
      <c r="Q78" s="34">
        <v>9</v>
      </c>
      <c r="R78" s="34">
        <v>409</v>
      </c>
      <c r="S78" s="27">
        <v>630630.32120000001</v>
      </c>
      <c r="T78" s="34"/>
      <c r="U78" s="34">
        <v>385732</v>
      </c>
      <c r="V78" s="29">
        <v>564526</v>
      </c>
      <c r="W78" s="34">
        <v>729905</v>
      </c>
      <c r="X78" s="34"/>
      <c r="Y78" t="s">
        <v>72</v>
      </c>
      <c r="Z78" s="33" t="str" cm="1">
        <f t="array" ref="Z78">_xlfn.IFS(S78&lt;U78,"Bt 10 and 25",S78&lt;V78,"Between 25 and 50",S78&lt;W78,"Between 50 and 75")</f>
        <v>Between 50 and 75</v>
      </c>
      <c r="AA78" s="30">
        <v>700000.32120000001</v>
      </c>
      <c r="AB78" s="32" t="s">
        <v>27</v>
      </c>
    </row>
    <row r="79" spans="1:28" x14ac:dyDescent="0.35">
      <c r="A79" s="24">
        <v>112</v>
      </c>
      <c r="B79" s="24" t="s">
        <v>159</v>
      </c>
      <c r="C79" s="25" t="s">
        <v>17</v>
      </c>
      <c r="D79" s="24" t="s">
        <v>111</v>
      </c>
      <c r="E79" s="26" t="s">
        <v>64</v>
      </c>
      <c r="F79" s="26" t="s">
        <v>96</v>
      </c>
      <c r="G79" s="26" t="s">
        <v>66</v>
      </c>
      <c r="H79" s="26" t="s">
        <v>75</v>
      </c>
      <c r="I79" s="26" t="s">
        <v>76</v>
      </c>
      <c r="J79" s="26" t="s">
        <v>77</v>
      </c>
      <c r="K79" s="26" t="s">
        <v>107</v>
      </c>
      <c r="L79" s="26" t="s">
        <v>13</v>
      </c>
      <c r="M79" s="26" t="s">
        <v>107</v>
      </c>
      <c r="N79" s="26" t="s">
        <v>22</v>
      </c>
      <c r="O79" s="26" t="str">
        <f t="shared" si="1"/>
        <v>Business Intelligence (BI) Data Analysis_P10</v>
      </c>
      <c r="P79" s="26" t="s">
        <v>71</v>
      </c>
      <c r="Q79" s="26">
        <v>4</v>
      </c>
      <c r="R79" s="26">
        <v>774</v>
      </c>
      <c r="S79" s="27">
        <v>630630.32120000001</v>
      </c>
      <c r="T79" s="28"/>
      <c r="U79" s="28"/>
      <c r="V79" s="29">
        <v>776839</v>
      </c>
      <c r="W79" s="28"/>
      <c r="X79" s="28"/>
      <c r="Y79" t="s">
        <v>79</v>
      </c>
      <c r="Z79" s="31" t="s">
        <v>80</v>
      </c>
      <c r="AA79" s="30">
        <v>700000.32120000001</v>
      </c>
    </row>
    <row r="80" spans="1:28" x14ac:dyDescent="0.35">
      <c r="A80" s="24">
        <v>37</v>
      </c>
      <c r="B80" s="24" t="s">
        <v>148</v>
      </c>
      <c r="C80" s="25" t="s">
        <v>17</v>
      </c>
      <c r="D80" s="24" t="s">
        <v>111</v>
      </c>
      <c r="E80" s="26" t="s">
        <v>64</v>
      </c>
      <c r="F80" s="26" t="s">
        <v>96</v>
      </c>
      <c r="G80" s="26" t="s">
        <v>66</v>
      </c>
      <c r="H80" s="26" t="s">
        <v>117</v>
      </c>
      <c r="I80" s="26" t="s">
        <v>118</v>
      </c>
      <c r="J80" s="26" t="s">
        <v>119</v>
      </c>
      <c r="K80" s="26" t="s">
        <v>107</v>
      </c>
      <c r="L80" s="26" t="s">
        <v>13</v>
      </c>
      <c r="M80" s="26" t="s">
        <v>107</v>
      </c>
      <c r="N80" s="26" t="s">
        <v>22</v>
      </c>
      <c r="O80" s="26" t="str">
        <f t="shared" si="1"/>
        <v>Supply Chain Planning (Outsourcing &amp; Global Capability Centers)_P10</v>
      </c>
      <c r="P80" s="26" t="s">
        <v>120</v>
      </c>
      <c r="Q80" s="34">
        <v>9</v>
      </c>
      <c r="R80" s="34">
        <v>409</v>
      </c>
      <c r="S80" s="27">
        <v>589200.95635999995</v>
      </c>
      <c r="T80" s="34"/>
      <c r="U80" s="34">
        <v>385732</v>
      </c>
      <c r="V80" s="29">
        <v>564526</v>
      </c>
      <c r="W80" s="34">
        <v>729905</v>
      </c>
      <c r="X80" s="34"/>
      <c r="Y80" t="s">
        <v>72</v>
      </c>
      <c r="Z80" s="33" t="str" cm="1">
        <f t="array" ref="Z80">_xlfn.IFS(S80&lt;U80,"Bt 10 and 25",S80&lt;V80,"Between 25 and 50",S80&lt;W80,"Between 50 and 75")</f>
        <v>Between 50 and 75</v>
      </c>
      <c r="AA80" s="30">
        <v>654011.74635999999</v>
      </c>
      <c r="AB80" s="32" t="s">
        <v>27</v>
      </c>
    </row>
    <row r="81" spans="1:28" x14ac:dyDescent="0.35">
      <c r="A81" s="24">
        <v>47</v>
      </c>
      <c r="B81" s="24" t="s">
        <v>148</v>
      </c>
      <c r="C81" s="25" t="s">
        <v>17</v>
      </c>
      <c r="D81" s="24" t="s">
        <v>111</v>
      </c>
      <c r="E81" s="26" t="s">
        <v>64</v>
      </c>
      <c r="F81" s="26" t="s">
        <v>96</v>
      </c>
      <c r="G81" s="26" t="s">
        <v>66</v>
      </c>
      <c r="H81" s="26" t="s">
        <v>117</v>
      </c>
      <c r="I81" s="26" t="s">
        <v>118</v>
      </c>
      <c r="J81" s="26" t="s">
        <v>119</v>
      </c>
      <c r="K81" s="26" t="s">
        <v>107</v>
      </c>
      <c r="L81" s="26" t="s">
        <v>13</v>
      </c>
      <c r="M81" s="26" t="s">
        <v>107</v>
      </c>
      <c r="N81" s="26" t="s">
        <v>22</v>
      </c>
      <c r="O81" s="26" t="str">
        <f t="shared" si="1"/>
        <v>Supply Chain Planning (Outsourcing &amp; Global Capability Centers)_P10</v>
      </c>
      <c r="P81" s="26" t="s">
        <v>120</v>
      </c>
      <c r="Q81" s="34">
        <v>9</v>
      </c>
      <c r="R81" s="34">
        <v>409</v>
      </c>
      <c r="S81" s="27">
        <v>589200.95635999995</v>
      </c>
      <c r="T81" s="34"/>
      <c r="U81" s="34">
        <v>385732</v>
      </c>
      <c r="V81" s="29">
        <v>564526</v>
      </c>
      <c r="W81" s="34">
        <v>729905</v>
      </c>
      <c r="X81" s="34"/>
      <c r="Y81" t="s">
        <v>72</v>
      </c>
      <c r="Z81" s="33" t="str" cm="1">
        <f t="array" ref="Z81">_xlfn.IFS(S81&lt;U81,"Bt 10 and 25",S81&lt;V81,"Between 25 and 50",S81&lt;W81,"Between 50 and 75")</f>
        <v>Between 50 and 75</v>
      </c>
      <c r="AA81" s="30">
        <v>654011.74635999999</v>
      </c>
      <c r="AB81" s="32" t="s">
        <v>27</v>
      </c>
    </row>
    <row r="82" spans="1:28" x14ac:dyDescent="0.35">
      <c r="A82" s="24">
        <v>50</v>
      </c>
      <c r="B82" s="24" t="s">
        <v>160</v>
      </c>
      <c r="C82" s="25" t="s">
        <v>17</v>
      </c>
      <c r="D82" s="24" t="s">
        <v>111</v>
      </c>
      <c r="E82" s="26" t="s">
        <v>64</v>
      </c>
      <c r="F82" s="26" t="s">
        <v>96</v>
      </c>
      <c r="G82" s="26" t="s">
        <v>66</v>
      </c>
      <c r="H82" s="26" t="s">
        <v>117</v>
      </c>
      <c r="I82" s="26" t="s">
        <v>145</v>
      </c>
      <c r="J82" s="26" t="s">
        <v>146</v>
      </c>
      <c r="K82" s="26" t="s">
        <v>127</v>
      </c>
      <c r="L82" s="26" t="s">
        <v>17</v>
      </c>
      <c r="M82" s="26" t="s">
        <v>127</v>
      </c>
      <c r="N82" s="26" t="s">
        <v>128</v>
      </c>
      <c r="O82" s="26" t="str">
        <f t="shared" si="1"/>
        <v>Accounts Payable/Receivable (Outsourcing &amp; Global Capability Centers)_S20</v>
      </c>
      <c r="P82" s="26" t="s">
        <v>120</v>
      </c>
      <c r="Q82" s="34">
        <v>21</v>
      </c>
      <c r="R82" s="34">
        <v>3656</v>
      </c>
      <c r="S82" s="27">
        <v>589200.95635999995</v>
      </c>
      <c r="T82" s="34">
        <v>404495</v>
      </c>
      <c r="U82" s="34">
        <v>507241</v>
      </c>
      <c r="V82" s="29">
        <v>596738</v>
      </c>
      <c r="W82" s="34">
        <v>693489</v>
      </c>
      <c r="X82" s="34">
        <v>875696</v>
      </c>
      <c r="Y82" t="s">
        <v>72</v>
      </c>
      <c r="Z82" t="str" cm="1">
        <f t="array" ref="Z82">_xlfn.IFS(S82&lt;T82,"Less than 10",S82&lt;U82,"Bt 10 and 25",S82&lt;V82,"Between 25 and 50",S82&lt;W82,"Between 50 and 75",S82&lt;X82,"between 75 and 90",S82&gt;X82,"greater than 90")</f>
        <v>Between 25 and 50</v>
      </c>
      <c r="AA82" s="30">
        <v>654011.74635999999</v>
      </c>
      <c r="AB82" t="s">
        <v>26</v>
      </c>
    </row>
    <row r="83" spans="1:28" x14ac:dyDescent="0.35">
      <c r="A83" s="24">
        <v>54</v>
      </c>
      <c r="B83" s="24" t="s">
        <v>160</v>
      </c>
      <c r="C83" s="25" t="s">
        <v>17</v>
      </c>
      <c r="D83" s="24" t="s">
        <v>111</v>
      </c>
      <c r="E83" s="26" t="s">
        <v>64</v>
      </c>
      <c r="F83" s="26" t="s">
        <v>96</v>
      </c>
      <c r="G83" s="26" t="s">
        <v>66</v>
      </c>
      <c r="H83" s="26" t="s">
        <v>117</v>
      </c>
      <c r="I83" s="26" t="s">
        <v>145</v>
      </c>
      <c r="J83" s="26" t="s">
        <v>146</v>
      </c>
      <c r="K83" s="26" t="s">
        <v>127</v>
      </c>
      <c r="L83" s="26" t="s">
        <v>17</v>
      </c>
      <c r="M83" s="26" t="s">
        <v>127</v>
      </c>
      <c r="N83" s="26" t="s">
        <v>128</v>
      </c>
      <c r="O83" s="26" t="str">
        <f t="shared" si="1"/>
        <v>Accounts Payable/Receivable (Outsourcing &amp; Global Capability Centers)_S20</v>
      </c>
      <c r="P83" s="26" t="s">
        <v>120</v>
      </c>
      <c r="Q83" s="34">
        <v>21</v>
      </c>
      <c r="R83" s="34">
        <v>3656</v>
      </c>
      <c r="S83" s="27">
        <v>589200.95635999995</v>
      </c>
      <c r="T83" s="34">
        <v>404495</v>
      </c>
      <c r="U83" s="34">
        <v>507241</v>
      </c>
      <c r="V83" s="29">
        <v>596738</v>
      </c>
      <c r="W83" s="34">
        <v>693489</v>
      </c>
      <c r="X83" s="34">
        <v>875696</v>
      </c>
      <c r="Y83" t="s">
        <v>72</v>
      </c>
      <c r="Z83" t="str" cm="1">
        <f t="array" ref="Z83">_xlfn.IFS(S83&lt;T83,"Less than 10",S83&lt;U83,"Bt 10 and 25",S83&lt;V83,"Between 25 and 50",S83&lt;W83,"Between 50 and 75",S83&lt;X83,"between 75 and 90",S83&gt;X83,"greater than 90")</f>
        <v>Between 25 and 50</v>
      </c>
      <c r="AA83" s="30">
        <v>654011.74635999999</v>
      </c>
      <c r="AB83" t="s">
        <v>26</v>
      </c>
    </row>
    <row r="84" spans="1:28" x14ac:dyDescent="0.35">
      <c r="A84" s="24">
        <v>56</v>
      </c>
      <c r="B84" s="24" t="s">
        <v>161</v>
      </c>
      <c r="C84" s="25" t="s">
        <v>17</v>
      </c>
      <c r="D84" s="24" t="s">
        <v>111</v>
      </c>
      <c r="E84" s="26" t="s">
        <v>64</v>
      </c>
      <c r="F84" s="26" t="s">
        <v>96</v>
      </c>
      <c r="G84" s="26" t="s">
        <v>66</v>
      </c>
      <c r="H84" s="26" t="s">
        <v>117</v>
      </c>
      <c r="I84" s="26" t="s">
        <v>118</v>
      </c>
      <c r="J84" s="26" t="s">
        <v>119</v>
      </c>
      <c r="K84" s="26" t="s">
        <v>107</v>
      </c>
      <c r="L84" s="26" t="s">
        <v>13</v>
      </c>
      <c r="M84" s="26" t="s">
        <v>107</v>
      </c>
      <c r="N84" s="26" t="s">
        <v>22</v>
      </c>
      <c r="O84" s="26" t="str">
        <f t="shared" si="1"/>
        <v>Supply Chain Planning (Outsourcing &amp; Global Capability Centers)_P10</v>
      </c>
      <c r="P84" s="26" t="s">
        <v>120</v>
      </c>
      <c r="Q84" s="34">
        <v>9</v>
      </c>
      <c r="R84" s="34">
        <v>409</v>
      </c>
      <c r="S84" s="27">
        <v>589200.95635999995</v>
      </c>
      <c r="T84" s="34"/>
      <c r="U84" s="34">
        <v>385732</v>
      </c>
      <c r="V84" s="29">
        <v>564526</v>
      </c>
      <c r="W84" s="34">
        <v>729905</v>
      </c>
      <c r="X84" s="34"/>
      <c r="Y84" t="s">
        <v>72</v>
      </c>
      <c r="Z84" s="33" t="str" cm="1">
        <f t="array" ref="Z84">_xlfn.IFS(S84&lt;U84,"Bt 10 and 25",S84&lt;V84,"Between 25 and 50",S84&lt;W84,"Between 50 and 75")</f>
        <v>Between 50 and 75</v>
      </c>
      <c r="AA84" s="30">
        <v>654011.74635999999</v>
      </c>
      <c r="AB84" s="32" t="s">
        <v>27</v>
      </c>
    </row>
    <row r="85" spans="1:28" x14ac:dyDescent="0.35">
      <c r="A85" s="24">
        <v>45</v>
      </c>
      <c r="B85" s="24" t="s">
        <v>148</v>
      </c>
      <c r="C85" s="25" t="s">
        <v>17</v>
      </c>
      <c r="D85" s="24" t="s">
        <v>111</v>
      </c>
      <c r="E85" s="26" t="s">
        <v>64</v>
      </c>
      <c r="F85" s="26" t="s">
        <v>96</v>
      </c>
      <c r="G85" s="26" t="s">
        <v>66</v>
      </c>
      <c r="H85" s="26" t="s">
        <v>117</v>
      </c>
      <c r="I85" s="26" t="s">
        <v>118</v>
      </c>
      <c r="J85" s="26" t="s">
        <v>119</v>
      </c>
      <c r="K85" s="26" t="s">
        <v>107</v>
      </c>
      <c r="L85" s="26" t="s">
        <v>13</v>
      </c>
      <c r="M85" s="26" t="s">
        <v>107</v>
      </c>
      <c r="N85" s="26" t="s">
        <v>22</v>
      </c>
      <c r="O85" s="26" t="str">
        <f t="shared" si="1"/>
        <v>Supply Chain Planning (Outsourcing &amp; Global Capability Centers)_P10</v>
      </c>
      <c r="P85" s="26" t="s">
        <v>120</v>
      </c>
      <c r="Q85" s="34">
        <v>9</v>
      </c>
      <c r="R85" s="34">
        <v>409</v>
      </c>
      <c r="S85" s="27">
        <v>559735.74596000009</v>
      </c>
      <c r="T85" s="34"/>
      <c r="U85" s="34">
        <v>385732</v>
      </c>
      <c r="V85" s="29">
        <v>564526</v>
      </c>
      <c r="W85" s="34">
        <v>729905</v>
      </c>
      <c r="X85" s="34"/>
      <c r="Y85" t="s">
        <v>72</v>
      </c>
      <c r="Z85" s="33" t="str" cm="1">
        <f t="array" ref="Z85">_xlfn.IFS(S85&lt;U85,"Bt 10 and 25",S85&lt;V85,"Between 25 and 50",S85&lt;W85,"Between 50 and 75")</f>
        <v>Between 25 and 50</v>
      </c>
      <c r="AA85" s="30">
        <v>621305.93596000003</v>
      </c>
      <c r="AB85" s="32" t="s">
        <v>26</v>
      </c>
    </row>
    <row r="86" spans="1:28" x14ac:dyDescent="0.35">
      <c r="A86" s="24">
        <v>59</v>
      </c>
      <c r="B86" s="24" t="s">
        <v>148</v>
      </c>
      <c r="C86" s="25" t="s">
        <v>17</v>
      </c>
      <c r="D86" s="24" t="s">
        <v>111</v>
      </c>
      <c r="E86" s="26" t="s">
        <v>64</v>
      </c>
      <c r="F86" s="26" t="s">
        <v>96</v>
      </c>
      <c r="G86" s="26" t="s">
        <v>66</v>
      </c>
      <c r="H86" s="26" t="s">
        <v>117</v>
      </c>
      <c r="I86" s="26" t="s">
        <v>118</v>
      </c>
      <c r="J86" s="26" t="s">
        <v>119</v>
      </c>
      <c r="K86" s="26" t="s">
        <v>107</v>
      </c>
      <c r="L86" s="26" t="s">
        <v>13</v>
      </c>
      <c r="M86" s="26" t="s">
        <v>107</v>
      </c>
      <c r="N86" s="26" t="s">
        <v>22</v>
      </c>
      <c r="O86" s="26" t="str">
        <f t="shared" si="1"/>
        <v>Supply Chain Planning (Outsourcing &amp; Global Capability Centers)_P10</v>
      </c>
      <c r="P86" s="26" t="s">
        <v>120</v>
      </c>
      <c r="Q86" s="34">
        <v>9</v>
      </c>
      <c r="R86" s="34">
        <v>409</v>
      </c>
      <c r="S86" s="27">
        <v>540540.98959999997</v>
      </c>
      <c r="T86" s="34"/>
      <c r="U86" s="34">
        <v>385732</v>
      </c>
      <c r="V86" s="29">
        <v>564526</v>
      </c>
      <c r="W86" s="34">
        <v>729905</v>
      </c>
      <c r="X86" s="34"/>
      <c r="Y86" t="s">
        <v>72</v>
      </c>
      <c r="Z86" s="33" t="str" cm="1">
        <f t="array" ref="Z86">_xlfn.IFS(S86&lt;U86,"Bt 10 and 25",S86&lt;V86,"Between 25 and 50",S86&lt;W86,"Between 50 and 75")</f>
        <v>Between 25 and 50</v>
      </c>
      <c r="AA86" s="30">
        <v>599999.98959999997</v>
      </c>
      <c r="AB86" s="32" t="s">
        <v>26</v>
      </c>
    </row>
    <row r="87" spans="1:28" x14ac:dyDescent="0.35">
      <c r="A87" s="24">
        <v>62</v>
      </c>
      <c r="B87" s="24" t="s">
        <v>148</v>
      </c>
      <c r="C87" s="25" t="s">
        <v>17</v>
      </c>
      <c r="D87" s="24" t="s">
        <v>111</v>
      </c>
      <c r="E87" s="26" t="s">
        <v>64</v>
      </c>
      <c r="F87" s="26" t="s">
        <v>96</v>
      </c>
      <c r="G87" s="26" t="s">
        <v>66</v>
      </c>
      <c r="H87" s="26" t="s">
        <v>117</v>
      </c>
      <c r="I87" s="26" t="s">
        <v>118</v>
      </c>
      <c r="J87" s="26" t="s">
        <v>119</v>
      </c>
      <c r="K87" s="26" t="s">
        <v>107</v>
      </c>
      <c r="L87" s="26" t="s">
        <v>13</v>
      </c>
      <c r="M87" s="26" t="s">
        <v>107</v>
      </c>
      <c r="N87" s="26" t="s">
        <v>22</v>
      </c>
      <c r="O87" s="26" t="str">
        <f t="shared" si="1"/>
        <v>Supply Chain Planning (Outsourcing &amp; Global Capability Centers)_P10</v>
      </c>
      <c r="P87" s="26" t="s">
        <v>120</v>
      </c>
      <c r="Q87" s="34">
        <v>9</v>
      </c>
      <c r="R87" s="34">
        <v>409</v>
      </c>
      <c r="S87" s="27">
        <v>540540.98959999997</v>
      </c>
      <c r="T87" s="34"/>
      <c r="U87" s="34">
        <v>385732</v>
      </c>
      <c r="V87" s="29">
        <v>564526</v>
      </c>
      <c r="W87" s="34">
        <v>729905</v>
      </c>
      <c r="X87" s="34"/>
      <c r="Y87" t="s">
        <v>72</v>
      </c>
      <c r="Z87" s="33" t="str" cm="1">
        <f t="array" ref="Z87">_xlfn.IFS(S87&lt;U87,"Bt 10 and 25",S87&lt;V87,"Between 25 and 50",S87&lt;W87,"Between 50 and 75")</f>
        <v>Between 25 and 50</v>
      </c>
      <c r="AA87" s="30">
        <v>599999.98959999997</v>
      </c>
      <c r="AB87" s="32" t="s">
        <v>26</v>
      </c>
    </row>
    <row r="88" spans="1:28" x14ac:dyDescent="0.35">
      <c r="A88" s="24">
        <v>74</v>
      </c>
      <c r="B88" s="24" t="s">
        <v>148</v>
      </c>
      <c r="C88" s="25" t="s">
        <v>17</v>
      </c>
      <c r="D88" s="24" t="s">
        <v>111</v>
      </c>
      <c r="E88" s="26" t="s">
        <v>64</v>
      </c>
      <c r="F88" s="26" t="s">
        <v>96</v>
      </c>
      <c r="G88" s="26" t="s">
        <v>66</v>
      </c>
      <c r="H88" s="26" t="s">
        <v>117</v>
      </c>
      <c r="I88" s="26" t="s">
        <v>118</v>
      </c>
      <c r="J88" s="26" t="s">
        <v>119</v>
      </c>
      <c r="K88" s="26" t="s">
        <v>107</v>
      </c>
      <c r="L88" s="26" t="s">
        <v>13</v>
      </c>
      <c r="M88" s="26" t="s">
        <v>107</v>
      </c>
      <c r="N88" s="26" t="s">
        <v>22</v>
      </c>
      <c r="O88" s="26" t="str">
        <f t="shared" si="1"/>
        <v>Supply Chain Planning (Outsourcing &amp; Global Capability Centers)_P10</v>
      </c>
      <c r="P88" s="26" t="s">
        <v>120</v>
      </c>
      <c r="Q88" s="34">
        <v>9</v>
      </c>
      <c r="R88" s="34">
        <v>409</v>
      </c>
      <c r="S88" s="27">
        <v>540540.98959999997</v>
      </c>
      <c r="T88" s="34"/>
      <c r="U88" s="34">
        <v>385732</v>
      </c>
      <c r="V88" s="29">
        <v>564526</v>
      </c>
      <c r="W88" s="34">
        <v>729905</v>
      </c>
      <c r="X88" s="34"/>
      <c r="Y88" t="s">
        <v>72</v>
      </c>
      <c r="Z88" s="33" t="str" cm="1">
        <f t="array" ref="Z88">_xlfn.IFS(S88&lt;U88,"Bt 10 and 25",S88&lt;V88,"Between 25 and 50",S88&lt;W88,"Between 50 and 75")</f>
        <v>Between 25 and 50</v>
      </c>
      <c r="AA88" s="30">
        <v>599999.98959999997</v>
      </c>
      <c r="AB88" s="32" t="s">
        <v>26</v>
      </c>
    </row>
    <row r="89" spans="1:28" x14ac:dyDescent="0.35">
      <c r="A89" s="24">
        <v>63</v>
      </c>
      <c r="B89" s="24" t="s">
        <v>148</v>
      </c>
      <c r="C89" s="25" t="s">
        <v>17</v>
      </c>
      <c r="D89" s="24" t="s">
        <v>111</v>
      </c>
      <c r="E89" s="26" t="s">
        <v>64</v>
      </c>
      <c r="F89" s="26" t="s">
        <v>96</v>
      </c>
      <c r="G89" s="26" t="s">
        <v>66</v>
      </c>
      <c r="H89" s="26" t="s">
        <v>117</v>
      </c>
      <c r="I89" s="26" t="s">
        <v>118</v>
      </c>
      <c r="J89" s="26" t="s">
        <v>119</v>
      </c>
      <c r="K89" s="26" t="s">
        <v>107</v>
      </c>
      <c r="L89" s="26" t="s">
        <v>13</v>
      </c>
      <c r="M89" s="26" t="s">
        <v>107</v>
      </c>
      <c r="N89" s="26" t="s">
        <v>22</v>
      </c>
      <c r="O89" s="26" t="str">
        <f t="shared" si="1"/>
        <v>Supply Chain Planning (Outsourcing &amp; Global Capability Centers)_P10</v>
      </c>
      <c r="P89" s="26" t="s">
        <v>120</v>
      </c>
      <c r="Q89" s="34">
        <v>9</v>
      </c>
      <c r="R89" s="34">
        <v>409</v>
      </c>
      <c r="S89" s="27">
        <v>540539.98959999997</v>
      </c>
      <c r="T89" s="34"/>
      <c r="U89" s="34">
        <v>385732</v>
      </c>
      <c r="V89" s="29">
        <v>564526</v>
      </c>
      <c r="W89" s="34">
        <v>729905</v>
      </c>
      <c r="X89" s="34"/>
      <c r="Y89" t="s">
        <v>72</v>
      </c>
      <c r="Z89" s="33" t="str" cm="1">
        <f t="array" ref="Z89">_xlfn.IFS(S89&lt;U89,"Bt 10 and 25",S89&lt;V89,"Between 25 and 50",S89&lt;W89,"Between 50 and 75")</f>
        <v>Between 25 and 50</v>
      </c>
      <c r="AA89" s="30">
        <v>599999.98959999997</v>
      </c>
      <c r="AB89" s="32" t="s">
        <v>26</v>
      </c>
    </row>
    <row r="90" spans="1:28" x14ac:dyDescent="0.35">
      <c r="A90" s="24">
        <v>67</v>
      </c>
      <c r="B90" s="24" t="s">
        <v>161</v>
      </c>
      <c r="C90" s="25" t="s">
        <v>17</v>
      </c>
      <c r="D90" s="24" t="s">
        <v>111</v>
      </c>
      <c r="E90" s="26" t="s">
        <v>64</v>
      </c>
      <c r="F90" s="26" t="s">
        <v>96</v>
      </c>
      <c r="G90" s="26" t="s">
        <v>66</v>
      </c>
      <c r="H90" s="26" t="s">
        <v>117</v>
      </c>
      <c r="I90" s="26" t="s">
        <v>118</v>
      </c>
      <c r="J90" s="26" t="s">
        <v>119</v>
      </c>
      <c r="K90" s="26" t="s">
        <v>107</v>
      </c>
      <c r="L90" s="26" t="s">
        <v>13</v>
      </c>
      <c r="M90" s="26" t="s">
        <v>107</v>
      </c>
      <c r="N90" s="26" t="s">
        <v>22</v>
      </c>
      <c r="O90" s="26" t="str">
        <f t="shared" si="1"/>
        <v>Supply Chain Planning (Outsourcing &amp; Global Capability Centers)_P10</v>
      </c>
      <c r="P90" s="26" t="s">
        <v>120</v>
      </c>
      <c r="Q90" s="34">
        <v>9</v>
      </c>
      <c r="R90" s="34">
        <v>409</v>
      </c>
      <c r="S90" s="27">
        <v>540539.98959999997</v>
      </c>
      <c r="T90" s="34"/>
      <c r="U90" s="34">
        <v>385732</v>
      </c>
      <c r="V90" s="29">
        <v>564526</v>
      </c>
      <c r="W90" s="34">
        <v>729905</v>
      </c>
      <c r="X90" s="34"/>
      <c r="Y90" t="s">
        <v>72</v>
      </c>
      <c r="Z90" s="33" t="str" cm="1">
        <f t="array" ref="Z90">_xlfn.IFS(S90&lt;U90,"Bt 10 and 25",S90&lt;V90,"Between 25 and 50",S90&lt;W90,"Between 50 and 75")</f>
        <v>Between 25 and 50</v>
      </c>
      <c r="AA90" s="30">
        <v>599999.98959999997</v>
      </c>
      <c r="AB90" s="32" t="s">
        <v>26</v>
      </c>
    </row>
    <row r="91" spans="1:28" x14ac:dyDescent="0.35">
      <c r="A91" s="24">
        <v>76</v>
      </c>
      <c r="B91" s="24" t="s">
        <v>160</v>
      </c>
      <c r="C91" s="25" t="s">
        <v>17</v>
      </c>
      <c r="D91" s="24" t="s">
        <v>111</v>
      </c>
      <c r="E91" s="26" t="s">
        <v>64</v>
      </c>
      <c r="F91" s="26" t="s">
        <v>96</v>
      </c>
      <c r="G91" s="26" t="s">
        <v>66</v>
      </c>
      <c r="H91" s="26" t="s">
        <v>117</v>
      </c>
      <c r="I91" s="26" t="s">
        <v>145</v>
      </c>
      <c r="J91" s="26" t="s">
        <v>146</v>
      </c>
      <c r="K91" s="26" t="s">
        <v>127</v>
      </c>
      <c r="L91" s="26" t="s">
        <v>17</v>
      </c>
      <c r="M91" s="26" t="s">
        <v>127</v>
      </c>
      <c r="N91" s="26" t="s">
        <v>128</v>
      </c>
      <c r="O91" s="26" t="str">
        <f t="shared" si="1"/>
        <v>Accounts Payable/Receivable (Outsourcing &amp; Global Capability Centers)_S20</v>
      </c>
      <c r="P91" s="26" t="s">
        <v>120</v>
      </c>
      <c r="Q91" s="34">
        <v>21</v>
      </c>
      <c r="R91" s="34">
        <v>3656</v>
      </c>
      <c r="S91" s="27">
        <v>540539.98959999997</v>
      </c>
      <c r="T91" s="34">
        <v>404495</v>
      </c>
      <c r="U91" s="34">
        <v>507241</v>
      </c>
      <c r="V91" s="29">
        <v>596738</v>
      </c>
      <c r="W91" s="34">
        <v>693489</v>
      </c>
      <c r="X91" s="34">
        <v>875696</v>
      </c>
      <c r="Y91" t="s">
        <v>72</v>
      </c>
      <c r="Z91" t="str" cm="1">
        <f t="array" ref="Z91">_xlfn.IFS(S91&lt;T91,"Less than 10",S91&lt;U91,"Bt 10 and 25",S91&lt;V91,"Between 25 and 50",S91&lt;W91,"Between 50 and 75",S91&lt;X91,"between 75 and 90",S91&gt;X91,"greater than 90")</f>
        <v>Between 25 and 50</v>
      </c>
      <c r="AA91" s="30">
        <v>599999.98959999997</v>
      </c>
      <c r="AB91" t="s">
        <v>26</v>
      </c>
    </row>
    <row r="92" spans="1:28" x14ac:dyDescent="0.35">
      <c r="A92" s="24">
        <v>77</v>
      </c>
      <c r="B92" s="24" t="s">
        <v>161</v>
      </c>
      <c r="C92" s="25" t="s">
        <v>17</v>
      </c>
      <c r="D92" s="24" t="s">
        <v>111</v>
      </c>
      <c r="E92" s="26" t="s">
        <v>64</v>
      </c>
      <c r="F92" s="26" t="s">
        <v>96</v>
      </c>
      <c r="G92" s="26" t="s">
        <v>66</v>
      </c>
      <c r="H92" s="26" t="s">
        <v>117</v>
      </c>
      <c r="I92" s="26" t="s">
        <v>118</v>
      </c>
      <c r="J92" s="26" t="s">
        <v>119</v>
      </c>
      <c r="K92" s="26" t="s">
        <v>107</v>
      </c>
      <c r="L92" s="26" t="s">
        <v>13</v>
      </c>
      <c r="M92" s="26" t="s">
        <v>107</v>
      </c>
      <c r="N92" s="26" t="s">
        <v>22</v>
      </c>
      <c r="O92" s="26" t="str">
        <f t="shared" si="1"/>
        <v>Supply Chain Planning (Outsourcing &amp; Global Capability Centers)_P10</v>
      </c>
      <c r="P92" s="26" t="s">
        <v>120</v>
      </c>
      <c r="Q92" s="34">
        <v>9</v>
      </c>
      <c r="R92" s="34">
        <v>409</v>
      </c>
      <c r="S92" s="27">
        <v>540539.98959999997</v>
      </c>
      <c r="T92" s="34"/>
      <c r="U92" s="34">
        <v>385732</v>
      </c>
      <c r="V92" s="29">
        <v>564526</v>
      </c>
      <c r="W92" s="34">
        <v>729905</v>
      </c>
      <c r="X92" s="34"/>
      <c r="Y92" t="s">
        <v>72</v>
      </c>
      <c r="Z92" s="33" t="str" cm="1">
        <f t="array" ref="Z92">_xlfn.IFS(S92&lt;U92,"Bt 10 and 25",S92&lt;V92,"Between 25 and 50",S92&lt;W92,"Between 50 and 75")</f>
        <v>Between 25 and 50</v>
      </c>
      <c r="AA92" s="30">
        <v>599999.98959999997</v>
      </c>
      <c r="AB92" s="32" t="s">
        <v>26</v>
      </c>
    </row>
    <row r="93" spans="1:28" x14ac:dyDescent="0.35">
      <c r="A93" s="24">
        <v>79</v>
      </c>
      <c r="B93" s="24" t="s">
        <v>161</v>
      </c>
      <c r="C93" s="25" t="s">
        <v>17</v>
      </c>
      <c r="D93" s="24" t="s">
        <v>111</v>
      </c>
      <c r="E93" s="26" t="s">
        <v>64</v>
      </c>
      <c r="F93" s="26" t="s">
        <v>96</v>
      </c>
      <c r="G93" s="26" t="s">
        <v>66</v>
      </c>
      <c r="H93" s="26" t="s">
        <v>117</v>
      </c>
      <c r="I93" s="26" t="s">
        <v>118</v>
      </c>
      <c r="J93" s="26" t="s">
        <v>119</v>
      </c>
      <c r="K93" s="26" t="s">
        <v>107</v>
      </c>
      <c r="L93" s="26" t="s">
        <v>13</v>
      </c>
      <c r="M93" s="26" t="s">
        <v>107</v>
      </c>
      <c r="N93" s="26" t="s">
        <v>22</v>
      </c>
      <c r="O93" s="26" t="str">
        <f t="shared" si="1"/>
        <v>Supply Chain Planning (Outsourcing &amp; Global Capability Centers)_P10</v>
      </c>
      <c r="P93" s="26" t="s">
        <v>120</v>
      </c>
      <c r="Q93" s="34">
        <v>9</v>
      </c>
      <c r="R93" s="34">
        <v>409</v>
      </c>
      <c r="S93" s="27">
        <v>540539.98959999997</v>
      </c>
      <c r="T93" s="34"/>
      <c r="U93" s="34">
        <v>385732</v>
      </c>
      <c r="V93" s="29">
        <v>564526</v>
      </c>
      <c r="W93" s="34">
        <v>729905</v>
      </c>
      <c r="X93" s="34"/>
      <c r="Y93" t="s">
        <v>72</v>
      </c>
      <c r="Z93" s="33" t="str" cm="1">
        <f t="array" ref="Z93">_xlfn.IFS(S93&lt;U93,"Bt 10 and 25",S93&lt;V93,"Between 25 and 50",S93&lt;W93,"Between 50 and 75")</f>
        <v>Between 25 and 50</v>
      </c>
      <c r="AA93" s="30">
        <v>599999.98959999997</v>
      </c>
      <c r="AB93" s="32" t="s">
        <v>26</v>
      </c>
    </row>
    <row r="94" spans="1:28" x14ac:dyDescent="0.35">
      <c r="A94" s="24">
        <v>81</v>
      </c>
      <c r="B94" s="24" t="s">
        <v>161</v>
      </c>
      <c r="C94" s="25" t="s">
        <v>17</v>
      </c>
      <c r="D94" s="24" t="s">
        <v>111</v>
      </c>
      <c r="E94" s="26" t="s">
        <v>64</v>
      </c>
      <c r="F94" s="26" t="s">
        <v>96</v>
      </c>
      <c r="G94" s="26" t="s">
        <v>66</v>
      </c>
      <c r="H94" s="26" t="s">
        <v>117</v>
      </c>
      <c r="I94" s="26" t="s">
        <v>118</v>
      </c>
      <c r="J94" s="26" t="s">
        <v>119</v>
      </c>
      <c r="K94" s="26" t="s">
        <v>107</v>
      </c>
      <c r="L94" s="26" t="s">
        <v>13</v>
      </c>
      <c r="M94" s="26" t="s">
        <v>107</v>
      </c>
      <c r="N94" s="26" t="s">
        <v>22</v>
      </c>
      <c r="O94" s="26" t="str">
        <f t="shared" si="1"/>
        <v>Supply Chain Planning (Outsourcing &amp; Global Capability Centers)_P10</v>
      </c>
      <c r="P94" s="26" t="s">
        <v>120</v>
      </c>
      <c r="Q94" s="34">
        <v>9</v>
      </c>
      <c r="R94" s="34">
        <v>409</v>
      </c>
      <c r="S94" s="27">
        <v>540539.98959999997</v>
      </c>
      <c r="T94" s="34"/>
      <c r="U94" s="34">
        <v>385732</v>
      </c>
      <c r="V94" s="29">
        <v>564526</v>
      </c>
      <c r="W94" s="34">
        <v>729905</v>
      </c>
      <c r="X94" s="34"/>
      <c r="Y94" t="s">
        <v>79</v>
      </c>
      <c r="Z94" s="33" t="str" cm="1">
        <f t="array" ref="Z94">_xlfn.IFS(S94&lt;U94,"Bt 10 and 25",S94&lt;V94,"Between 25 and 50",S94&lt;W94,"Between 50 and 75")</f>
        <v>Between 25 and 50</v>
      </c>
      <c r="AA94" s="30">
        <v>599999.98959999997</v>
      </c>
      <c r="AB94" s="32" t="s">
        <v>26</v>
      </c>
    </row>
    <row r="95" spans="1:28" x14ac:dyDescent="0.35">
      <c r="A95" s="24">
        <v>82</v>
      </c>
      <c r="B95" s="24" t="s">
        <v>148</v>
      </c>
      <c r="C95" s="25" t="s">
        <v>17</v>
      </c>
      <c r="D95" s="24" t="s">
        <v>111</v>
      </c>
      <c r="E95" s="26" t="s">
        <v>64</v>
      </c>
      <c r="F95" s="26" t="s">
        <v>96</v>
      </c>
      <c r="G95" s="26" t="s">
        <v>66</v>
      </c>
      <c r="H95" s="26" t="s">
        <v>117</v>
      </c>
      <c r="I95" s="26" t="s">
        <v>118</v>
      </c>
      <c r="J95" s="26" t="s">
        <v>119</v>
      </c>
      <c r="K95" s="26" t="s">
        <v>107</v>
      </c>
      <c r="L95" s="26" t="s">
        <v>13</v>
      </c>
      <c r="M95" s="26" t="s">
        <v>107</v>
      </c>
      <c r="N95" s="26" t="s">
        <v>22</v>
      </c>
      <c r="O95" s="26" t="str">
        <f t="shared" si="1"/>
        <v>Supply Chain Planning (Outsourcing &amp; Global Capability Centers)_P10</v>
      </c>
      <c r="P95" s="26" t="s">
        <v>120</v>
      </c>
      <c r="Q95" s="34">
        <v>9</v>
      </c>
      <c r="R95" s="34">
        <v>409</v>
      </c>
      <c r="S95" s="27">
        <v>540539.98959999997</v>
      </c>
      <c r="T95" s="34"/>
      <c r="U95" s="34">
        <v>385732</v>
      </c>
      <c r="V95" s="29">
        <v>564526</v>
      </c>
      <c r="W95" s="34">
        <v>729905</v>
      </c>
      <c r="X95" s="34"/>
      <c r="Y95" t="s">
        <v>72</v>
      </c>
      <c r="Z95" s="33" t="str" cm="1">
        <f t="array" ref="Z95">_xlfn.IFS(S95&lt;U95,"Bt 10 and 25",S95&lt;V95,"Between 25 and 50",S95&lt;W95,"Between 50 and 75")</f>
        <v>Between 25 and 50</v>
      </c>
      <c r="AA95" s="30">
        <v>599999.98959999997</v>
      </c>
      <c r="AB95" s="32" t="s">
        <v>26</v>
      </c>
    </row>
    <row r="96" spans="1:28" x14ac:dyDescent="0.35">
      <c r="A96" s="24">
        <v>83</v>
      </c>
      <c r="B96" s="24" t="s">
        <v>148</v>
      </c>
      <c r="C96" s="25" t="s">
        <v>17</v>
      </c>
      <c r="D96" s="24" t="s">
        <v>111</v>
      </c>
      <c r="E96" s="26" t="s">
        <v>64</v>
      </c>
      <c r="F96" s="26" t="s">
        <v>96</v>
      </c>
      <c r="G96" s="26" t="s">
        <v>66</v>
      </c>
      <c r="H96" s="26" t="s">
        <v>117</v>
      </c>
      <c r="I96" s="26" t="s">
        <v>118</v>
      </c>
      <c r="J96" s="26" t="s">
        <v>119</v>
      </c>
      <c r="K96" s="26" t="s">
        <v>107</v>
      </c>
      <c r="L96" s="26" t="s">
        <v>13</v>
      </c>
      <c r="M96" s="26" t="s">
        <v>107</v>
      </c>
      <c r="N96" s="26" t="s">
        <v>22</v>
      </c>
      <c r="O96" s="26" t="str">
        <f t="shared" si="1"/>
        <v>Supply Chain Planning (Outsourcing &amp; Global Capability Centers)_P10</v>
      </c>
      <c r="P96" s="26" t="s">
        <v>120</v>
      </c>
      <c r="Q96" s="34">
        <v>9</v>
      </c>
      <c r="R96" s="34">
        <v>409</v>
      </c>
      <c r="S96" s="27">
        <v>540539.98959999997</v>
      </c>
      <c r="T96" s="34"/>
      <c r="U96" s="34">
        <v>385732</v>
      </c>
      <c r="V96" s="29">
        <v>564526</v>
      </c>
      <c r="W96" s="34">
        <v>729905</v>
      </c>
      <c r="X96" s="34"/>
      <c r="Y96" t="s">
        <v>72</v>
      </c>
      <c r="Z96" s="33" t="str" cm="1">
        <f t="array" ref="Z96">_xlfn.IFS(S96&lt;U96,"Bt 10 and 25",S96&lt;V96,"Between 25 and 50",S96&lt;W96,"Between 50 and 75")</f>
        <v>Between 25 and 50</v>
      </c>
      <c r="AA96" s="30">
        <v>599999.98959999997</v>
      </c>
      <c r="AB96" s="32" t="s">
        <v>26</v>
      </c>
    </row>
    <row r="97" spans="1:28" x14ac:dyDescent="0.35">
      <c r="A97" s="24">
        <v>84</v>
      </c>
      <c r="B97" s="24" t="s">
        <v>148</v>
      </c>
      <c r="C97" s="25" t="s">
        <v>17</v>
      </c>
      <c r="D97" s="24" t="s">
        <v>111</v>
      </c>
      <c r="E97" s="26" t="s">
        <v>64</v>
      </c>
      <c r="F97" s="26" t="s">
        <v>96</v>
      </c>
      <c r="G97" s="26" t="s">
        <v>66</v>
      </c>
      <c r="H97" s="26" t="s">
        <v>117</v>
      </c>
      <c r="I97" s="26" t="s">
        <v>118</v>
      </c>
      <c r="J97" s="26" t="s">
        <v>119</v>
      </c>
      <c r="K97" s="26" t="s">
        <v>107</v>
      </c>
      <c r="L97" s="26" t="s">
        <v>13</v>
      </c>
      <c r="M97" s="26" t="s">
        <v>107</v>
      </c>
      <c r="N97" s="26" t="s">
        <v>22</v>
      </c>
      <c r="O97" s="26" t="str">
        <f t="shared" si="1"/>
        <v>Supply Chain Planning (Outsourcing &amp; Global Capability Centers)_P10</v>
      </c>
      <c r="P97" s="26" t="s">
        <v>120</v>
      </c>
      <c r="Q97" s="34">
        <v>9</v>
      </c>
      <c r="R97" s="34">
        <v>409</v>
      </c>
      <c r="S97" s="27">
        <v>540539.98959999997</v>
      </c>
      <c r="T97" s="34"/>
      <c r="U97" s="34">
        <v>385732</v>
      </c>
      <c r="V97" s="29">
        <v>564526</v>
      </c>
      <c r="W97" s="34">
        <v>729905</v>
      </c>
      <c r="X97" s="34"/>
      <c r="Y97" t="s">
        <v>72</v>
      </c>
      <c r="Z97" s="33" t="str" cm="1">
        <f t="array" ref="Z97">_xlfn.IFS(S97&lt;U97,"Bt 10 and 25",S97&lt;V97,"Between 25 and 50",S97&lt;W97,"Between 50 and 75")</f>
        <v>Between 25 and 50</v>
      </c>
      <c r="AA97" s="30">
        <v>599999.98959999997</v>
      </c>
      <c r="AB97" s="32" t="s">
        <v>26</v>
      </c>
    </row>
    <row r="98" spans="1:28" x14ac:dyDescent="0.35">
      <c r="A98" s="24">
        <v>85</v>
      </c>
      <c r="B98" s="24" t="s">
        <v>148</v>
      </c>
      <c r="C98" s="25" t="s">
        <v>17</v>
      </c>
      <c r="D98" s="24" t="s">
        <v>111</v>
      </c>
      <c r="E98" s="26" t="s">
        <v>64</v>
      </c>
      <c r="F98" s="26" t="s">
        <v>96</v>
      </c>
      <c r="G98" s="26" t="s">
        <v>66</v>
      </c>
      <c r="H98" s="26" t="s">
        <v>117</v>
      </c>
      <c r="I98" s="26" t="s">
        <v>118</v>
      </c>
      <c r="J98" s="26" t="s">
        <v>119</v>
      </c>
      <c r="K98" s="26" t="s">
        <v>107</v>
      </c>
      <c r="L98" s="26" t="s">
        <v>13</v>
      </c>
      <c r="M98" s="26" t="s">
        <v>107</v>
      </c>
      <c r="N98" s="26" t="s">
        <v>22</v>
      </c>
      <c r="O98" s="26" t="str">
        <f t="shared" si="1"/>
        <v>Supply Chain Planning (Outsourcing &amp; Global Capability Centers)_P10</v>
      </c>
      <c r="P98" s="26" t="s">
        <v>120</v>
      </c>
      <c r="Q98" s="34">
        <v>9</v>
      </c>
      <c r="R98" s="34">
        <v>409</v>
      </c>
      <c r="S98" s="27">
        <v>540539.98959999997</v>
      </c>
      <c r="T98" s="34"/>
      <c r="U98" s="34">
        <v>385732</v>
      </c>
      <c r="V98" s="29">
        <v>564526</v>
      </c>
      <c r="W98" s="34">
        <v>729905</v>
      </c>
      <c r="X98" s="34"/>
      <c r="Y98" t="s">
        <v>72</v>
      </c>
      <c r="Z98" s="33" t="str" cm="1">
        <f t="array" ref="Z98">_xlfn.IFS(S98&lt;U98,"Bt 10 and 25",S98&lt;V98,"Between 25 and 50",S98&lt;W98,"Between 50 and 75")</f>
        <v>Between 25 and 50</v>
      </c>
      <c r="AA98" s="30">
        <v>599999.98959999997</v>
      </c>
      <c r="AB98" s="32" t="s">
        <v>26</v>
      </c>
    </row>
    <row r="99" spans="1:28" x14ac:dyDescent="0.35">
      <c r="A99" s="24">
        <v>86</v>
      </c>
      <c r="B99" s="24" t="s">
        <v>148</v>
      </c>
      <c r="C99" s="25" t="s">
        <v>17</v>
      </c>
      <c r="D99" s="24" t="s">
        <v>111</v>
      </c>
      <c r="E99" s="26" t="s">
        <v>64</v>
      </c>
      <c r="F99" s="26" t="s">
        <v>96</v>
      </c>
      <c r="G99" s="26" t="s">
        <v>66</v>
      </c>
      <c r="H99" s="26" t="s">
        <v>117</v>
      </c>
      <c r="I99" s="26" t="s">
        <v>118</v>
      </c>
      <c r="J99" s="26" t="s">
        <v>119</v>
      </c>
      <c r="K99" s="26" t="s">
        <v>107</v>
      </c>
      <c r="L99" s="26" t="s">
        <v>13</v>
      </c>
      <c r="M99" s="26" t="s">
        <v>107</v>
      </c>
      <c r="N99" s="26" t="s">
        <v>22</v>
      </c>
      <c r="O99" s="26" t="str">
        <f t="shared" si="1"/>
        <v>Supply Chain Planning (Outsourcing &amp; Global Capability Centers)_P10</v>
      </c>
      <c r="P99" s="26" t="s">
        <v>120</v>
      </c>
      <c r="Q99" s="34">
        <v>9</v>
      </c>
      <c r="R99" s="34">
        <v>409</v>
      </c>
      <c r="S99" s="27">
        <v>540539.98959999997</v>
      </c>
      <c r="T99" s="34"/>
      <c r="U99" s="34">
        <v>385732</v>
      </c>
      <c r="V99" s="29">
        <v>564526</v>
      </c>
      <c r="W99" s="34">
        <v>729905</v>
      </c>
      <c r="X99" s="34"/>
      <c r="Y99" t="s">
        <v>72</v>
      </c>
      <c r="Z99" s="33" t="str" cm="1">
        <f t="array" ref="Z99">_xlfn.IFS(S99&lt;U99,"Bt 10 and 25",S99&lt;V99,"Between 25 and 50",S99&lt;W99,"Between 50 and 75")</f>
        <v>Between 25 and 50</v>
      </c>
      <c r="AA99" s="30">
        <v>599999.98959999997</v>
      </c>
      <c r="AB99" s="32" t="s">
        <v>26</v>
      </c>
    </row>
    <row r="100" spans="1:28" x14ac:dyDescent="0.35">
      <c r="A100" s="24">
        <v>98</v>
      </c>
      <c r="B100" s="24" t="s">
        <v>148</v>
      </c>
      <c r="C100" s="25" t="s">
        <v>17</v>
      </c>
      <c r="D100" s="24" t="s">
        <v>111</v>
      </c>
      <c r="E100" s="26" t="s">
        <v>64</v>
      </c>
      <c r="F100" s="26" t="s">
        <v>96</v>
      </c>
      <c r="G100" s="26" t="s">
        <v>66</v>
      </c>
      <c r="H100" s="26" t="s">
        <v>117</v>
      </c>
      <c r="I100" s="26" t="s">
        <v>118</v>
      </c>
      <c r="J100" s="26" t="s">
        <v>119</v>
      </c>
      <c r="K100" s="26" t="s">
        <v>107</v>
      </c>
      <c r="L100" s="26" t="s">
        <v>13</v>
      </c>
      <c r="M100" s="26" t="s">
        <v>107</v>
      </c>
      <c r="N100" s="26" t="s">
        <v>22</v>
      </c>
      <c r="O100" s="26" t="str">
        <f t="shared" si="1"/>
        <v>Supply Chain Planning (Outsourcing &amp; Global Capability Centers)_P10</v>
      </c>
      <c r="P100" s="26" t="s">
        <v>120</v>
      </c>
      <c r="Q100" s="34">
        <v>9</v>
      </c>
      <c r="R100" s="34">
        <v>409</v>
      </c>
      <c r="S100" s="27">
        <v>540539.98959999997</v>
      </c>
      <c r="T100" s="34"/>
      <c r="U100" s="34">
        <v>385732</v>
      </c>
      <c r="V100" s="29">
        <v>564526</v>
      </c>
      <c r="W100" s="34">
        <v>729905</v>
      </c>
      <c r="X100" s="34"/>
      <c r="Y100" t="s">
        <v>72</v>
      </c>
      <c r="Z100" s="33" t="str" cm="1">
        <f t="array" ref="Z100">_xlfn.IFS(S100&lt;U100,"Bt 10 and 25",S100&lt;V100,"Between 25 and 50",S100&lt;W100,"Between 50 and 75")</f>
        <v>Between 25 and 50</v>
      </c>
      <c r="AA100" s="30">
        <v>599999.98959999997</v>
      </c>
      <c r="AB100" s="32" t="s">
        <v>26</v>
      </c>
    </row>
    <row r="101" spans="1:28" x14ac:dyDescent="0.35">
      <c r="A101" s="24">
        <v>105</v>
      </c>
      <c r="B101" s="24" t="s">
        <v>148</v>
      </c>
      <c r="C101" s="25" t="s">
        <v>17</v>
      </c>
      <c r="D101" s="24" t="s">
        <v>111</v>
      </c>
      <c r="E101" s="26" t="s">
        <v>64</v>
      </c>
      <c r="F101" s="26" t="s">
        <v>96</v>
      </c>
      <c r="G101" s="26" t="s">
        <v>66</v>
      </c>
      <c r="H101" s="26" t="s">
        <v>117</v>
      </c>
      <c r="I101" s="26" t="s">
        <v>118</v>
      </c>
      <c r="J101" s="26" t="s">
        <v>119</v>
      </c>
      <c r="K101" s="26" t="s">
        <v>107</v>
      </c>
      <c r="L101" s="26" t="s">
        <v>13</v>
      </c>
      <c r="M101" s="26" t="s">
        <v>107</v>
      </c>
      <c r="N101" s="26" t="s">
        <v>22</v>
      </c>
      <c r="O101" s="26" t="str">
        <f t="shared" si="1"/>
        <v>Supply Chain Planning (Outsourcing &amp; Global Capability Centers)_P10</v>
      </c>
      <c r="P101" s="26" t="s">
        <v>120</v>
      </c>
      <c r="Q101" s="34">
        <v>9</v>
      </c>
      <c r="R101" s="34">
        <v>409</v>
      </c>
      <c r="S101" s="27">
        <v>540539.98959999997</v>
      </c>
      <c r="T101" s="34"/>
      <c r="U101" s="34">
        <v>385732</v>
      </c>
      <c r="V101" s="29">
        <v>564526</v>
      </c>
      <c r="W101" s="34">
        <v>729905</v>
      </c>
      <c r="X101" s="34"/>
      <c r="Y101" t="s">
        <v>72</v>
      </c>
      <c r="Z101" s="33" t="str" cm="1">
        <f t="array" ref="Z101">_xlfn.IFS(S101&lt;U101,"Bt 10 and 25",S101&lt;V101,"Between 25 and 50",S101&lt;W101,"Between 50 and 75")</f>
        <v>Between 25 and 50</v>
      </c>
      <c r="AA101" s="30">
        <v>599999.98959999997</v>
      </c>
      <c r="AB101" s="32" t="s">
        <v>26</v>
      </c>
    </row>
    <row r="102" spans="1:28" x14ac:dyDescent="0.35">
      <c r="A102" s="24">
        <v>109</v>
      </c>
      <c r="B102" s="24" t="s">
        <v>148</v>
      </c>
      <c r="C102" s="25" t="s">
        <v>17</v>
      </c>
      <c r="D102" s="24" t="s">
        <v>111</v>
      </c>
      <c r="E102" s="26" t="s">
        <v>64</v>
      </c>
      <c r="F102" s="26" t="s">
        <v>96</v>
      </c>
      <c r="G102" s="26" t="s">
        <v>66</v>
      </c>
      <c r="H102" s="26" t="s">
        <v>117</v>
      </c>
      <c r="I102" s="26" t="s">
        <v>118</v>
      </c>
      <c r="J102" s="26" t="s">
        <v>119</v>
      </c>
      <c r="K102" s="26" t="s">
        <v>107</v>
      </c>
      <c r="L102" s="26" t="s">
        <v>13</v>
      </c>
      <c r="M102" s="26" t="s">
        <v>107</v>
      </c>
      <c r="N102" s="26" t="s">
        <v>22</v>
      </c>
      <c r="O102" s="26" t="str">
        <f t="shared" si="1"/>
        <v>Supply Chain Planning (Outsourcing &amp; Global Capability Centers)_P10</v>
      </c>
      <c r="P102" s="26" t="s">
        <v>120</v>
      </c>
      <c r="Q102" s="34">
        <v>9</v>
      </c>
      <c r="R102" s="34">
        <v>409</v>
      </c>
      <c r="S102" s="27">
        <v>540539.98959999997</v>
      </c>
      <c r="T102" s="34"/>
      <c r="U102" s="34">
        <v>385732</v>
      </c>
      <c r="V102" s="29">
        <v>564526</v>
      </c>
      <c r="W102" s="34">
        <v>729905</v>
      </c>
      <c r="X102" s="34"/>
      <c r="Y102" t="s">
        <v>79</v>
      </c>
      <c r="Z102" s="33" t="str" cm="1">
        <f t="array" ref="Z102">_xlfn.IFS(S102&lt;U102,"Bt 10 and 25",S102&lt;V102,"Between 25 and 50",S102&lt;W102,"Between 50 and 75")</f>
        <v>Between 25 and 50</v>
      </c>
      <c r="AA102" s="30">
        <v>599999.98959999997</v>
      </c>
      <c r="AB102" s="32" t="s">
        <v>26</v>
      </c>
    </row>
    <row r="103" spans="1:28" x14ac:dyDescent="0.35">
      <c r="A103" s="24">
        <v>110</v>
      </c>
      <c r="B103" s="24" t="s">
        <v>148</v>
      </c>
      <c r="C103" s="25" t="s">
        <v>17</v>
      </c>
      <c r="D103" s="24" t="s">
        <v>111</v>
      </c>
      <c r="E103" s="26" t="s">
        <v>64</v>
      </c>
      <c r="F103" s="26" t="s">
        <v>96</v>
      </c>
      <c r="G103" s="26" t="s">
        <v>66</v>
      </c>
      <c r="H103" s="26" t="s">
        <v>117</v>
      </c>
      <c r="I103" s="26" t="s">
        <v>118</v>
      </c>
      <c r="J103" s="26" t="s">
        <v>119</v>
      </c>
      <c r="K103" s="26" t="s">
        <v>107</v>
      </c>
      <c r="L103" s="26" t="s">
        <v>13</v>
      </c>
      <c r="M103" s="26" t="s">
        <v>107</v>
      </c>
      <c r="N103" s="26" t="s">
        <v>22</v>
      </c>
      <c r="O103" s="26" t="str">
        <f t="shared" si="1"/>
        <v>Supply Chain Planning (Outsourcing &amp; Global Capability Centers)_P10</v>
      </c>
      <c r="P103" s="26" t="s">
        <v>120</v>
      </c>
      <c r="Q103" s="34">
        <v>9</v>
      </c>
      <c r="R103" s="34">
        <v>409</v>
      </c>
      <c r="S103" s="27">
        <v>540539.98959999997</v>
      </c>
      <c r="T103" s="34"/>
      <c r="U103" s="34">
        <v>385732</v>
      </c>
      <c r="V103" s="29">
        <v>564526</v>
      </c>
      <c r="W103" s="34">
        <v>729905</v>
      </c>
      <c r="X103" s="34"/>
      <c r="Y103" t="s">
        <v>72</v>
      </c>
      <c r="Z103" s="33" t="str" cm="1">
        <f t="array" ref="Z103">_xlfn.IFS(S103&lt;U103,"Bt 10 and 25",S103&lt;V103,"Between 25 and 50",S103&lt;W103,"Between 50 and 75")</f>
        <v>Between 25 and 50</v>
      </c>
      <c r="AA103" s="30">
        <v>599999.98959999997</v>
      </c>
      <c r="AB103" s="32" t="s">
        <v>26</v>
      </c>
    </row>
    <row r="104" spans="1:28" x14ac:dyDescent="0.35">
      <c r="A104" s="24">
        <v>114</v>
      </c>
      <c r="B104" s="24" t="s">
        <v>148</v>
      </c>
      <c r="C104" s="25" t="s">
        <v>17</v>
      </c>
      <c r="D104" s="24" t="s">
        <v>111</v>
      </c>
      <c r="E104" s="26" t="s">
        <v>64</v>
      </c>
      <c r="F104" s="26" t="s">
        <v>96</v>
      </c>
      <c r="G104" s="26" t="s">
        <v>66</v>
      </c>
      <c r="H104" s="26" t="s">
        <v>117</v>
      </c>
      <c r="I104" s="26" t="s">
        <v>118</v>
      </c>
      <c r="J104" s="26" t="s">
        <v>119</v>
      </c>
      <c r="K104" s="26" t="s">
        <v>107</v>
      </c>
      <c r="L104" s="26" t="s">
        <v>13</v>
      </c>
      <c r="M104" s="26" t="s">
        <v>107</v>
      </c>
      <c r="N104" s="26" t="s">
        <v>22</v>
      </c>
      <c r="O104" s="26" t="str">
        <f t="shared" si="1"/>
        <v>Supply Chain Planning (Outsourcing &amp; Global Capability Centers)_P10</v>
      </c>
      <c r="P104" s="26" t="s">
        <v>120</v>
      </c>
      <c r="Q104" s="34">
        <v>9</v>
      </c>
      <c r="R104" s="34">
        <v>409</v>
      </c>
      <c r="S104" s="27">
        <v>540539.98959999997</v>
      </c>
      <c r="T104" s="34"/>
      <c r="U104" s="34">
        <v>385732</v>
      </c>
      <c r="V104" s="29">
        <v>564526</v>
      </c>
      <c r="W104" s="34">
        <v>729905</v>
      </c>
      <c r="X104" s="34"/>
      <c r="Y104" t="s">
        <v>79</v>
      </c>
      <c r="Z104" s="33" t="str" cm="1">
        <f t="array" ref="Z104">_xlfn.IFS(S104&lt;U104,"Bt 10 and 25",S104&lt;V104,"Between 25 and 50",S104&lt;W104,"Between 50 and 75")</f>
        <v>Between 25 and 50</v>
      </c>
      <c r="AA104" s="30">
        <v>599999.98959999997</v>
      </c>
      <c r="AB104" s="32" t="s">
        <v>26</v>
      </c>
    </row>
    <row r="105" spans="1:28" x14ac:dyDescent="0.35">
      <c r="A105" s="24">
        <v>46</v>
      </c>
      <c r="B105" s="24" t="s">
        <v>148</v>
      </c>
      <c r="C105" s="25" t="s">
        <v>17</v>
      </c>
      <c r="D105" s="24" t="s">
        <v>111</v>
      </c>
      <c r="E105" s="26" t="s">
        <v>64</v>
      </c>
      <c r="F105" s="26" t="s">
        <v>96</v>
      </c>
      <c r="G105" s="26" t="s">
        <v>66</v>
      </c>
      <c r="H105" s="26" t="s">
        <v>117</v>
      </c>
      <c r="I105" s="26" t="s">
        <v>118</v>
      </c>
      <c r="J105" s="26" t="s">
        <v>119</v>
      </c>
      <c r="K105" s="26" t="s">
        <v>107</v>
      </c>
      <c r="L105" s="26" t="s">
        <v>13</v>
      </c>
      <c r="M105" s="26" t="s">
        <v>107</v>
      </c>
      <c r="N105" s="26" t="s">
        <v>22</v>
      </c>
      <c r="O105" s="26" t="str">
        <f t="shared" si="1"/>
        <v>Supply Chain Planning (Outsourcing &amp; Global Capability Centers)_P10</v>
      </c>
      <c r="P105" s="26" t="s">
        <v>120</v>
      </c>
      <c r="Q105" s="34">
        <v>9</v>
      </c>
      <c r="R105" s="34">
        <v>409</v>
      </c>
      <c r="S105" s="27">
        <v>540090</v>
      </c>
      <c r="T105" s="34"/>
      <c r="U105" s="34">
        <v>385732</v>
      </c>
      <c r="V105" s="29">
        <v>564526</v>
      </c>
      <c r="W105" s="34">
        <v>729905</v>
      </c>
      <c r="X105" s="34"/>
      <c r="Y105" t="s">
        <v>72</v>
      </c>
      <c r="Z105" s="33" t="str" cm="1">
        <f t="array" ref="Z105">_xlfn.IFS(S105&lt;U105,"Bt 10 and 25",S105&lt;V105,"Between 25 and 50",S105&lt;W105,"Between 50 and 75")</f>
        <v>Between 25 and 50</v>
      </c>
      <c r="AA105" s="30">
        <v>599499.9</v>
      </c>
      <c r="AB105" s="32" t="s">
        <v>26</v>
      </c>
    </row>
    <row r="106" spans="1:28" x14ac:dyDescent="0.35">
      <c r="A106" s="24">
        <v>49</v>
      </c>
      <c r="B106" s="24" t="s">
        <v>161</v>
      </c>
      <c r="C106" s="25" t="s">
        <v>17</v>
      </c>
      <c r="D106" s="24" t="s">
        <v>111</v>
      </c>
      <c r="E106" s="26" t="s">
        <v>64</v>
      </c>
      <c r="F106" s="26" t="s">
        <v>96</v>
      </c>
      <c r="G106" s="26" t="s">
        <v>66</v>
      </c>
      <c r="H106" s="26" t="s">
        <v>117</v>
      </c>
      <c r="I106" s="26" t="s">
        <v>118</v>
      </c>
      <c r="J106" s="26" t="s">
        <v>119</v>
      </c>
      <c r="K106" s="26" t="s">
        <v>107</v>
      </c>
      <c r="L106" s="26" t="s">
        <v>13</v>
      </c>
      <c r="M106" s="26" t="s">
        <v>107</v>
      </c>
      <c r="N106" s="26" t="s">
        <v>22</v>
      </c>
      <c r="O106" s="26" t="str">
        <f t="shared" si="1"/>
        <v>Supply Chain Planning (Outsourcing &amp; Global Capability Centers)_P10</v>
      </c>
      <c r="P106" s="26" t="s">
        <v>120</v>
      </c>
      <c r="Q106" s="34">
        <v>9</v>
      </c>
      <c r="R106" s="34">
        <v>409</v>
      </c>
      <c r="S106" s="27">
        <v>540090</v>
      </c>
      <c r="T106" s="34"/>
      <c r="U106" s="34">
        <v>385732</v>
      </c>
      <c r="V106" s="29">
        <v>564526</v>
      </c>
      <c r="W106" s="34">
        <v>729905</v>
      </c>
      <c r="X106" s="34"/>
      <c r="Y106" t="s">
        <v>72</v>
      </c>
      <c r="Z106" s="33" t="str" cm="1">
        <f t="array" ref="Z106">_xlfn.IFS(S106&lt;U106,"Bt 10 and 25",S106&lt;V106,"Between 25 and 50",S106&lt;W106,"Between 50 and 75")</f>
        <v>Between 25 and 50</v>
      </c>
      <c r="AA106" s="30">
        <v>599499.9</v>
      </c>
      <c r="AB106" s="32" t="s">
        <v>26</v>
      </c>
    </row>
    <row r="107" spans="1:28" x14ac:dyDescent="0.35">
      <c r="A107" s="24">
        <v>51</v>
      </c>
      <c r="B107" s="24" t="s">
        <v>160</v>
      </c>
      <c r="C107" s="25" t="s">
        <v>17</v>
      </c>
      <c r="D107" s="24" t="s">
        <v>111</v>
      </c>
      <c r="E107" s="26" t="s">
        <v>64</v>
      </c>
      <c r="F107" s="26" t="s">
        <v>96</v>
      </c>
      <c r="G107" s="26" t="s">
        <v>66</v>
      </c>
      <c r="H107" s="26" t="s">
        <v>117</v>
      </c>
      <c r="I107" s="26" t="s">
        <v>145</v>
      </c>
      <c r="J107" s="26" t="s">
        <v>146</v>
      </c>
      <c r="K107" s="26" t="s">
        <v>127</v>
      </c>
      <c r="L107" s="26" t="s">
        <v>17</v>
      </c>
      <c r="M107" s="26" t="s">
        <v>127</v>
      </c>
      <c r="N107" s="26" t="s">
        <v>128</v>
      </c>
      <c r="O107" s="26" t="str">
        <f t="shared" si="1"/>
        <v>Accounts Payable/Receivable (Outsourcing &amp; Global Capability Centers)_S20</v>
      </c>
      <c r="P107" s="26" t="s">
        <v>120</v>
      </c>
      <c r="Q107" s="34">
        <v>21</v>
      </c>
      <c r="R107" s="34">
        <v>3656</v>
      </c>
      <c r="S107" s="27">
        <v>540090</v>
      </c>
      <c r="T107" s="34">
        <v>404495</v>
      </c>
      <c r="U107" s="34">
        <v>507241</v>
      </c>
      <c r="V107" s="29">
        <v>596738</v>
      </c>
      <c r="W107" s="34">
        <v>693489</v>
      </c>
      <c r="X107" s="34">
        <v>875696</v>
      </c>
      <c r="Y107" t="s">
        <v>79</v>
      </c>
      <c r="Z107" t="str" cm="1">
        <f t="array" ref="Z107">_xlfn.IFS(S107&lt;T107,"Less than 10",S107&lt;U107,"Bt 10 and 25",S107&lt;V107,"Between 25 and 50",S107&lt;W107,"Between 50 and 75",S107&lt;X107,"between 75 and 90",S107&gt;X107,"greater than 90")</f>
        <v>Between 25 and 50</v>
      </c>
      <c r="AA107" s="30">
        <v>599499.9</v>
      </c>
      <c r="AB107" t="s">
        <v>26</v>
      </c>
    </row>
    <row r="108" spans="1:28" x14ac:dyDescent="0.35">
      <c r="A108" s="24">
        <v>89</v>
      </c>
      <c r="B108" s="24" t="s">
        <v>148</v>
      </c>
      <c r="C108" s="25" t="s">
        <v>17</v>
      </c>
      <c r="D108" s="24" t="s">
        <v>111</v>
      </c>
      <c r="E108" s="26" t="s">
        <v>64</v>
      </c>
      <c r="F108" s="26" t="s">
        <v>96</v>
      </c>
      <c r="G108" s="26" t="s">
        <v>66</v>
      </c>
      <c r="H108" s="26" t="s">
        <v>117</v>
      </c>
      <c r="I108" s="26" t="s">
        <v>118</v>
      </c>
      <c r="J108" s="26" t="s">
        <v>119</v>
      </c>
      <c r="K108" s="26" t="s">
        <v>107</v>
      </c>
      <c r="L108" s="26" t="s">
        <v>13</v>
      </c>
      <c r="M108" s="26" t="s">
        <v>107</v>
      </c>
      <c r="N108" s="26" t="s">
        <v>22</v>
      </c>
      <c r="O108" s="26" t="str">
        <f t="shared" si="1"/>
        <v>Supply Chain Planning (Outsourcing &amp; Global Capability Centers)_P10</v>
      </c>
      <c r="P108" s="26" t="s">
        <v>120</v>
      </c>
      <c r="Q108" s="34">
        <v>9</v>
      </c>
      <c r="R108" s="34">
        <v>409</v>
      </c>
      <c r="S108" s="27">
        <v>513513.98050000001</v>
      </c>
      <c r="T108" s="34"/>
      <c r="U108" s="34">
        <v>385732</v>
      </c>
      <c r="V108" s="29">
        <v>564526</v>
      </c>
      <c r="W108" s="34">
        <v>729905</v>
      </c>
      <c r="X108" s="34"/>
      <c r="Y108" t="s">
        <v>72</v>
      </c>
      <c r="Z108" s="33" t="str" cm="1">
        <f t="array" ref="Z108">_xlfn.IFS(S108&lt;U108,"Bt 10 and 25",S108&lt;V108,"Between 25 and 50",S108&lt;W108,"Between 50 and 75")</f>
        <v>Between 25 and 50</v>
      </c>
      <c r="AA108" s="30">
        <v>569999.98049999995</v>
      </c>
      <c r="AB108" s="32" t="s">
        <v>26</v>
      </c>
    </row>
    <row r="109" spans="1:28" x14ac:dyDescent="0.35">
      <c r="A109" s="24">
        <v>99</v>
      </c>
      <c r="B109" s="24" t="s">
        <v>148</v>
      </c>
      <c r="C109" s="25" t="s">
        <v>17</v>
      </c>
      <c r="D109" s="24" t="s">
        <v>111</v>
      </c>
      <c r="E109" s="26" t="s">
        <v>64</v>
      </c>
      <c r="F109" s="26" t="s">
        <v>96</v>
      </c>
      <c r="G109" s="26" t="s">
        <v>66</v>
      </c>
      <c r="H109" s="26" t="s">
        <v>117</v>
      </c>
      <c r="I109" s="26" t="s">
        <v>118</v>
      </c>
      <c r="J109" s="26" t="s">
        <v>119</v>
      </c>
      <c r="K109" s="26" t="s">
        <v>107</v>
      </c>
      <c r="L109" s="26" t="s">
        <v>13</v>
      </c>
      <c r="M109" s="26" t="s">
        <v>107</v>
      </c>
      <c r="N109" s="26" t="s">
        <v>22</v>
      </c>
      <c r="O109" s="26" t="str">
        <f t="shared" si="1"/>
        <v>Supply Chain Planning (Outsourcing &amp; Global Capability Centers)_P10</v>
      </c>
      <c r="P109" s="26" t="s">
        <v>120</v>
      </c>
      <c r="Q109" s="34">
        <v>9</v>
      </c>
      <c r="R109" s="34">
        <v>409</v>
      </c>
      <c r="S109" s="27">
        <v>495495.32380000001</v>
      </c>
      <c r="T109" s="34"/>
      <c r="U109" s="34">
        <v>385732</v>
      </c>
      <c r="V109" s="29">
        <v>564526</v>
      </c>
      <c r="W109" s="34">
        <v>729905</v>
      </c>
      <c r="X109" s="34"/>
      <c r="Y109" t="s">
        <v>72</v>
      </c>
      <c r="Z109" s="33" t="str" cm="1">
        <f t="array" ref="Z109">_xlfn.IFS(S109&lt;U109,"Bt 10 and 25",S109&lt;V109,"Between 25 and 50",S109&lt;W109,"Between 50 and 75")</f>
        <v>Between 25 and 50</v>
      </c>
      <c r="AA109" s="30">
        <v>550000.32380000001</v>
      </c>
      <c r="AB109" s="32" t="s">
        <v>26</v>
      </c>
    </row>
    <row r="110" spans="1:28" x14ac:dyDescent="0.35">
      <c r="A110" s="24">
        <v>100</v>
      </c>
      <c r="B110" s="24" t="s">
        <v>148</v>
      </c>
      <c r="C110" s="25" t="s">
        <v>17</v>
      </c>
      <c r="D110" s="24" t="s">
        <v>111</v>
      </c>
      <c r="E110" s="26" t="s">
        <v>64</v>
      </c>
      <c r="F110" s="26" t="s">
        <v>96</v>
      </c>
      <c r="G110" s="26" t="s">
        <v>66</v>
      </c>
      <c r="H110" s="26" t="s">
        <v>117</v>
      </c>
      <c r="I110" s="26" t="s">
        <v>118</v>
      </c>
      <c r="J110" s="26" t="s">
        <v>119</v>
      </c>
      <c r="K110" s="26" t="s">
        <v>107</v>
      </c>
      <c r="L110" s="26" t="s">
        <v>13</v>
      </c>
      <c r="M110" s="26" t="s">
        <v>107</v>
      </c>
      <c r="N110" s="26" t="s">
        <v>22</v>
      </c>
      <c r="O110" s="26" t="str">
        <f t="shared" si="1"/>
        <v>Supply Chain Planning (Outsourcing &amp; Global Capability Centers)_P10</v>
      </c>
      <c r="P110" s="26" t="s">
        <v>120</v>
      </c>
      <c r="Q110" s="34">
        <v>9</v>
      </c>
      <c r="R110" s="34">
        <v>409</v>
      </c>
      <c r="S110" s="27">
        <v>495495.32380000001</v>
      </c>
      <c r="T110" s="34"/>
      <c r="U110" s="34">
        <v>385732</v>
      </c>
      <c r="V110" s="29">
        <v>564526</v>
      </c>
      <c r="W110" s="34">
        <v>729905</v>
      </c>
      <c r="X110" s="34"/>
      <c r="Y110" t="s">
        <v>79</v>
      </c>
      <c r="Z110" s="33" t="str" cm="1">
        <f t="array" ref="Z110">_xlfn.IFS(S110&lt;U110,"Bt 10 and 25",S110&lt;V110,"Between 25 and 50",S110&lt;W110,"Between 50 and 75")</f>
        <v>Between 25 and 50</v>
      </c>
      <c r="AA110" s="30">
        <v>550000.32380000001</v>
      </c>
      <c r="AB110" s="32" t="s">
        <v>26</v>
      </c>
    </row>
    <row r="111" spans="1:28" x14ac:dyDescent="0.35">
      <c r="A111" s="24">
        <v>44</v>
      </c>
      <c r="B111" s="24" t="s">
        <v>148</v>
      </c>
      <c r="C111" s="25" t="s">
        <v>17</v>
      </c>
      <c r="D111" s="24" t="s">
        <v>111</v>
      </c>
      <c r="E111" s="26" t="s">
        <v>64</v>
      </c>
      <c r="F111" s="26" t="s">
        <v>96</v>
      </c>
      <c r="G111" s="26" t="s">
        <v>66</v>
      </c>
      <c r="H111" s="26" t="s">
        <v>117</v>
      </c>
      <c r="I111" s="26" t="s">
        <v>118</v>
      </c>
      <c r="J111" s="26" t="s">
        <v>119</v>
      </c>
      <c r="K111" s="26" t="s">
        <v>107</v>
      </c>
      <c r="L111" s="26" t="s">
        <v>13</v>
      </c>
      <c r="M111" s="26" t="s">
        <v>107</v>
      </c>
      <c r="N111" s="26" t="s">
        <v>22</v>
      </c>
      <c r="O111" s="26" t="str">
        <f t="shared" si="1"/>
        <v>Supply Chain Planning (Outsourcing &amp; Global Capability Centers)_P10</v>
      </c>
      <c r="P111" s="26" t="s">
        <v>120</v>
      </c>
      <c r="Q111" s="34">
        <v>9</v>
      </c>
      <c r="R111" s="34">
        <v>409</v>
      </c>
      <c r="S111" s="27">
        <v>490998.96555999992</v>
      </c>
      <c r="T111" s="34"/>
      <c r="U111" s="34">
        <v>385732</v>
      </c>
      <c r="V111" s="29">
        <v>564526</v>
      </c>
      <c r="W111" s="34">
        <v>729905</v>
      </c>
      <c r="X111" s="34"/>
      <c r="Y111" t="s">
        <v>72</v>
      </c>
      <c r="Z111" s="33" t="str" cm="1">
        <f t="array" ref="Z111">_xlfn.IFS(S111&lt;U111,"Bt 10 and 25",S111&lt;V111,"Between 25 and 50",S111&lt;W111,"Between 50 and 75")</f>
        <v>Between 25 and 50</v>
      </c>
      <c r="AA111" s="30">
        <v>545007.97555999993</v>
      </c>
      <c r="AB111" s="32" t="s">
        <v>26</v>
      </c>
    </row>
    <row r="112" spans="1:28" x14ac:dyDescent="0.35">
      <c r="A112" s="24">
        <v>53</v>
      </c>
      <c r="B112" s="24" t="s">
        <v>160</v>
      </c>
      <c r="C112" s="25" t="s">
        <v>17</v>
      </c>
      <c r="D112" s="24" t="s">
        <v>111</v>
      </c>
      <c r="E112" s="26" t="s">
        <v>64</v>
      </c>
      <c r="F112" s="26" t="s">
        <v>96</v>
      </c>
      <c r="G112" s="26" t="s">
        <v>66</v>
      </c>
      <c r="H112" s="26" t="s">
        <v>117</v>
      </c>
      <c r="I112" s="26" t="s">
        <v>145</v>
      </c>
      <c r="J112" s="26" t="s">
        <v>146</v>
      </c>
      <c r="K112" s="26" t="s">
        <v>127</v>
      </c>
      <c r="L112" s="26" t="s">
        <v>17</v>
      </c>
      <c r="M112" s="26" t="s">
        <v>127</v>
      </c>
      <c r="N112" s="26" t="s">
        <v>128</v>
      </c>
      <c r="O112" s="26" t="str">
        <f t="shared" si="1"/>
        <v>Accounts Payable/Receivable (Outsourcing &amp; Global Capability Centers)_S20</v>
      </c>
      <c r="P112" s="26" t="s">
        <v>120</v>
      </c>
      <c r="Q112" s="34">
        <v>21</v>
      </c>
      <c r="R112" s="34">
        <v>3656</v>
      </c>
      <c r="S112" s="27">
        <v>490998.96555999992</v>
      </c>
      <c r="T112" s="34">
        <v>404495</v>
      </c>
      <c r="U112" s="34">
        <v>507241</v>
      </c>
      <c r="V112" s="29">
        <v>596738</v>
      </c>
      <c r="W112" s="34">
        <v>693489</v>
      </c>
      <c r="X112" s="34">
        <v>875696</v>
      </c>
      <c r="Y112" t="s">
        <v>72</v>
      </c>
      <c r="Z112" t="str" cm="1">
        <f t="array" ref="Z112">_xlfn.IFS(S112&lt;T112,"Less than 10",S112&lt;U112,"Bt 10 and 25",S112&lt;V112,"Between 25 and 50",S112&lt;W112,"Between 50 and 75",S112&lt;X112,"between 75 and 90",S112&gt;X112,"greater than 90")</f>
        <v>Bt 10 and 25</v>
      </c>
      <c r="AA112" s="30">
        <v>545007.97555999993</v>
      </c>
      <c r="AB112" t="s">
        <v>25</v>
      </c>
    </row>
    <row r="113" spans="1:28" x14ac:dyDescent="0.35">
      <c r="A113" s="24">
        <v>95</v>
      </c>
      <c r="B113" s="24" t="s">
        <v>158</v>
      </c>
      <c r="C113" s="25" t="s">
        <v>17</v>
      </c>
      <c r="D113" s="24" t="s">
        <v>111</v>
      </c>
      <c r="E113" s="26" t="s">
        <v>64</v>
      </c>
      <c r="F113" s="26" t="s">
        <v>96</v>
      </c>
      <c r="G113" s="26" t="s">
        <v>66</v>
      </c>
      <c r="H113" s="26" t="s">
        <v>117</v>
      </c>
      <c r="I113" s="26" t="s">
        <v>118</v>
      </c>
      <c r="J113" s="26" t="s">
        <v>119</v>
      </c>
      <c r="K113" s="26" t="s">
        <v>107</v>
      </c>
      <c r="L113" s="26" t="s">
        <v>13</v>
      </c>
      <c r="M113" s="26" t="s">
        <v>107</v>
      </c>
      <c r="N113" s="26" t="s">
        <v>22</v>
      </c>
      <c r="O113" s="26" t="str">
        <f t="shared" si="1"/>
        <v>Supply Chain Planning (Outsourcing &amp; Global Capability Centers)_P10</v>
      </c>
      <c r="P113" s="26" t="s">
        <v>120</v>
      </c>
      <c r="Q113" s="34">
        <v>9</v>
      </c>
      <c r="R113" s="34">
        <v>409</v>
      </c>
      <c r="S113" s="27">
        <v>468468.31469999999</v>
      </c>
      <c r="T113" s="34"/>
      <c r="U113" s="34">
        <v>385732</v>
      </c>
      <c r="V113" s="29">
        <v>564526</v>
      </c>
      <c r="W113" s="34">
        <v>729905</v>
      </c>
      <c r="X113" s="34"/>
      <c r="Y113" t="s">
        <v>72</v>
      </c>
      <c r="Z113" s="33" t="str" cm="1">
        <f t="array" ref="Z113">_xlfn.IFS(S113&lt;U113,"Bt 10 and 25",S113&lt;V113,"Between 25 and 50",S113&lt;W113,"Between 50 and 75")</f>
        <v>Between 25 and 50</v>
      </c>
      <c r="AA113" s="30">
        <v>520000.31469999999</v>
      </c>
      <c r="AB113" s="32" t="s">
        <v>26</v>
      </c>
    </row>
    <row r="114" spans="1:28" x14ac:dyDescent="0.35">
      <c r="A114" s="24">
        <v>73</v>
      </c>
      <c r="B114" s="24" t="s">
        <v>160</v>
      </c>
      <c r="C114" s="25" t="s">
        <v>17</v>
      </c>
      <c r="D114" s="24" t="s">
        <v>111</v>
      </c>
      <c r="E114" s="26" t="s">
        <v>64</v>
      </c>
      <c r="F114" s="26" t="s">
        <v>96</v>
      </c>
      <c r="G114" s="26" t="s">
        <v>66</v>
      </c>
      <c r="H114" s="26" t="s">
        <v>117</v>
      </c>
      <c r="I114" s="26" t="s">
        <v>145</v>
      </c>
      <c r="J114" s="26" t="s">
        <v>146</v>
      </c>
      <c r="K114" s="26" t="s">
        <v>127</v>
      </c>
      <c r="L114" s="26" t="s">
        <v>17</v>
      </c>
      <c r="M114" s="26" t="s">
        <v>127</v>
      </c>
      <c r="N114" s="26" t="s">
        <v>128</v>
      </c>
      <c r="O114" s="26" t="str">
        <f t="shared" si="1"/>
        <v>Accounts Payable/Receivable (Outsourcing &amp; Global Capability Centers)_S20</v>
      </c>
      <c r="P114" s="26" t="s">
        <v>120</v>
      </c>
      <c r="Q114" s="34">
        <v>21</v>
      </c>
      <c r="R114" s="34">
        <v>3656</v>
      </c>
      <c r="S114" s="27">
        <v>450449.658</v>
      </c>
      <c r="T114" s="34">
        <v>404495</v>
      </c>
      <c r="U114" s="34">
        <v>507241</v>
      </c>
      <c r="V114" s="29">
        <v>596738</v>
      </c>
      <c r="W114" s="34">
        <v>693489</v>
      </c>
      <c r="X114" s="34">
        <v>875696</v>
      </c>
      <c r="Y114" t="s">
        <v>72</v>
      </c>
      <c r="Z114" t="str" cm="1">
        <f t="array" ref="Z114">_xlfn.IFS(S114&lt;T114,"Less than 10",S114&lt;U114,"Bt 10 and 25",S114&lt;V114,"Between 25 and 50",S114&lt;W114,"Between 50 and 75",S114&lt;X114,"between 75 and 90",S114&gt;X114,"greater than 90")</f>
        <v>Bt 10 and 25</v>
      </c>
      <c r="AA114" s="30">
        <v>499999.658</v>
      </c>
      <c r="AB114" t="s">
        <v>25</v>
      </c>
    </row>
    <row r="115" spans="1:28" x14ac:dyDescent="0.35">
      <c r="A115" s="24">
        <v>61</v>
      </c>
      <c r="B115" s="24" t="s">
        <v>160</v>
      </c>
      <c r="C115" s="25" t="s">
        <v>17</v>
      </c>
      <c r="D115" s="24" t="s">
        <v>111</v>
      </c>
      <c r="E115" s="26" t="s">
        <v>64</v>
      </c>
      <c r="F115" s="26" t="s">
        <v>96</v>
      </c>
      <c r="G115" s="26" t="s">
        <v>66</v>
      </c>
      <c r="H115" s="26" t="s">
        <v>117</v>
      </c>
      <c r="I115" s="26" t="s">
        <v>145</v>
      </c>
      <c r="J115" s="26" t="s">
        <v>146</v>
      </c>
      <c r="K115" s="26" t="s">
        <v>127</v>
      </c>
      <c r="L115" s="26" t="s">
        <v>17</v>
      </c>
      <c r="M115" s="26" t="s">
        <v>127</v>
      </c>
      <c r="N115" s="26" t="s">
        <v>128</v>
      </c>
      <c r="O115" s="26" t="str">
        <f t="shared" si="1"/>
        <v>Accounts Payable/Receivable (Outsourcing &amp; Global Capability Centers)_S20</v>
      </c>
      <c r="P115" s="26" t="s">
        <v>120</v>
      </c>
      <c r="Q115" s="34">
        <v>21</v>
      </c>
      <c r="R115" s="34">
        <v>3656</v>
      </c>
      <c r="S115" s="27">
        <v>418920.0208</v>
      </c>
      <c r="T115" s="34">
        <v>404495</v>
      </c>
      <c r="U115" s="34">
        <v>507241</v>
      </c>
      <c r="V115" s="29">
        <v>596738</v>
      </c>
      <c r="W115" s="34">
        <v>693489</v>
      </c>
      <c r="X115" s="34">
        <v>875696</v>
      </c>
      <c r="Y115" t="s">
        <v>79</v>
      </c>
      <c r="Z115" t="str" cm="1">
        <f t="array" ref="Z115">_xlfn.IFS(S115&lt;T115,"Less than 10",S115&lt;U115,"Bt 10 and 25",S115&lt;V115,"Between 25 and 50",S115&lt;W115,"Between 50 and 75",S115&lt;X115,"between 75 and 90",S115&gt;X115,"greater than 90")</f>
        <v>Bt 10 and 25</v>
      </c>
      <c r="AA115" s="30">
        <v>465000.0208</v>
      </c>
      <c r="AB115" t="s">
        <v>25</v>
      </c>
    </row>
    <row r="116" spans="1:28" x14ac:dyDescent="0.35">
      <c r="A116" s="24">
        <v>93</v>
      </c>
      <c r="B116" s="24" t="s">
        <v>148</v>
      </c>
      <c r="C116" s="25" t="s">
        <v>17</v>
      </c>
      <c r="D116" s="24" t="s">
        <v>111</v>
      </c>
      <c r="E116" s="26" t="s">
        <v>64</v>
      </c>
      <c r="F116" s="26" t="s">
        <v>96</v>
      </c>
      <c r="G116" s="26" t="s">
        <v>66</v>
      </c>
      <c r="H116" s="26" t="s">
        <v>117</v>
      </c>
      <c r="I116" s="26" t="s">
        <v>118</v>
      </c>
      <c r="J116" s="26" t="s">
        <v>119</v>
      </c>
      <c r="K116" s="26" t="s">
        <v>107</v>
      </c>
      <c r="L116" s="26" t="s">
        <v>13</v>
      </c>
      <c r="M116" s="26" t="s">
        <v>107</v>
      </c>
      <c r="N116" s="26" t="s">
        <v>22</v>
      </c>
      <c r="O116" s="26" t="str">
        <f t="shared" si="1"/>
        <v>Supply Chain Planning (Outsourcing &amp; Global Capability Centers)_P10</v>
      </c>
      <c r="P116" s="26" t="s">
        <v>120</v>
      </c>
      <c r="Q116" s="34">
        <v>9</v>
      </c>
      <c r="R116" s="34">
        <v>409</v>
      </c>
      <c r="S116" s="27">
        <v>297297.00390000001</v>
      </c>
      <c r="T116" s="34"/>
      <c r="U116" s="34">
        <v>385732</v>
      </c>
      <c r="V116" s="29">
        <v>564526</v>
      </c>
      <c r="W116" s="34">
        <v>729905</v>
      </c>
      <c r="X116" s="34"/>
      <c r="Y116" t="s">
        <v>72</v>
      </c>
      <c r="Z116" s="33" t="str" cm="1">
        <f t="array" ref="Z116">_xlfn.IFS(S116&lt;U116,"Bt 10 and 25",S116&lt;V116,"Between 25 and 50",S116&lt;W116,"Between 50 and 75")</f>
        <v>Bt 10 and 25</v>
      </c>
      <c r="AA116" s="30">
        <v>330000.00390000001</v>
      </c>
      <c r="AB116" s="32" t="s">
        <v>25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7BFFD-8CF4-411E-80A1-5B8D60DA7B35}">
  <sheetPr codeName="Sheet12"/>
  <dimension ref="A1:K15"/>
  <sheetViews>
    <sheetView workbookViewId="0">
      <selection activeCell="I10" sqref="I10"/>
    </sheetView>
  </sheetViews>
  <sheetFormatPr defaultRowHeight="14.5" x14ac:dyDescent="0.35"/>
  <cols>
    <col min="1" max="1" width="59.1796875" customWidth="1"/>
    <col min="10" max="10" width="0" hidden="1" customWidth="1"/>
    <col min="11" max="11" width="11.36328125" hidden="1" customWidth="1"/>
  </cols>
  <sheetData>
    <row r="1" spans="1:11" x14ac:dyDescent="0.35">
      <c r="A1" t="s">
        <v>178</v>
      </c>
      <c r="B1" t="s">
        <v>179</v>
      </c>
      <c r="C1" t="s">
        <v>25</v>
      </c>
      <c r="D1" t="s">
        <v>26</v>
      </c>
      <c r="E1" t="s">
        <v>27</v>
      </c>
      <c r="F1" t="s">
        <v>28</v>
      </c>
      <c r="H1" t="s">
        <v>30</v>
      </c>
      <c r="J1" t="s">
        <v>181</v>
      </c>
      <c r="K1" t="s">
        <v>180</v>
      </c>
    </row>
    <row r="2" spans="1:11" x14ac:dyDescent="0.35">
      <c r="A2" t="str" cm="1">
        <f t="array" ref="A2:A15">_xlfn.UNIQUE(data!J2:J116)</f>
        <v>Technical Project Management</v>
      </c>
      <c r="B2">
        <f>COUNTIF(data!J2:J116,'Positing by Function'!A2)</f>
        <v>1</v>
      </c>
      <c r="C2" s="7">
        <f>COUNTIFS(data!J2:J116,'Positing by Function'!A2,data!AB2:AB116,'Positing by Function'!C1)/B2</f>
        <v>0</v>
      </c>
      <c r="D2" s="7">
        <f>COUNTIFS(data!J:J,'Positing by Function'!A2,data!AB:AB,'Positing by Function'!D1)/B2</f>
        <v>0</v>
      </c>
      <c r="E2" s="7">
        <f>COUNTIFS(data!J:J,'Positing by Function'!A2,data!AB:AB,'Positing by Function'!E1)/B2</f>
        <v>0</v>
      </c>
      <c r="F2" s="7">
        <f>COUNTIFS(data!J:J,'Positing by Function'!A2,data!AB:AB,'Positing by Function'!F1)/B2</f>
        <v>1</v>
      </c>
      <c r="H2" s="7">
        <f>(J2-K2)/K2</f>
        <v>0.39179103804912252</v>
      </c>
      <c r="J2" cm="1">
        <f t="array" ref="J2">MEDIAN(_xlfn._xlws.FILTER(data!S:S,(data!J:J='Positing by Function'!A2)))</f>
        <v>7003595.4960000003</v>
      </c>
      <c r="K2" cm="1">
        <f t="array" ref="K2">MEDIAN(_xlfn._xlws.FILTER(data!V:V,(data!J:J='Positing by Function'!A2)))</f>
        <v>5032074</v>
      </c>
    </row>
    <row r="3" spans="1:11" x14ac:dyDescent="0.35">
      <c r="A3" t="str">
        <v>Business Intelligence (BI) Data Analysis</v>
      </c>
      <c r="B3">
        <f>COUNTIF(data!J2:J117,'Positing by Function'!A3)</f>
        <v>22</v>
      </c>
      <c r="C3" s="7">
        <f>COUNTIFS(data!J2:J117,'Positing by Function'!A3,data!AB2:AB117,'Positing by Function'!C1)/B3</f>
        <v>4.5454545454545456E-2</v>
      </c>
      <c r="D3" s="7">
        <f>COUNTIFS(data!J:J,'Positing by Function'!A3,data!AB:AB,'Positing by Function'!D1)/B3</f>
        <v>0.13636363636363635</v>
      </c>
      <c r="E3" s="7">
        <f>COUNTIFS(data!J:J,'Positing by Function'!A3,data!AB:AB,'Positing by Function'!E1)/B3</f>
        <v>0.31818181818181818</v>
      </c>
      <c r="F3" s="7">
        <f>COUNTIFS(data!J:J,'Positing by Function'!A3,data!AB:AB,'Positing by Function'!F1)/B3</f>
        <v>9.0909090909090912E-2</v>
      </c>
      <c r="H3" s="7">
        <f t="shared" ref="H3:H15" si="0">(J3-K3)/K3</f>
        <v>0.71753355376057482</v>
      </c>
      <c r="J3" cm="1">
        <f t="array" ref="J3">MEDIAN(_xlfn._xlws.FILTER(data!S:S,(data!J:J='Positing by Function'!A3)))</f>
        <v>1939648.4279999998</v>
      </c>
      <c r="K3" cm="1">
        <f t="array" ref="K3">MEDIAN(_xlfn._xlws.FILTER(data!V:V,(data!J:J='Positing by Function'!A3)))</f>
        <v>1129322</v>
      </c>
    </row>
    <row r="4" spans="1:11" x14ac:dyDescent="0.35">
      <c r="A4" t="str">
        <v>Data Science</v>
      </c>
      <c r="B4">
        <f>COUNTIF(data!J2:J118,'Positing by Function'!A4)</f>
        <v>29</v>
      </c>
      <c r="C4" s="7">
        <f>COUNTIFS(data!J2:J118,'Positing by Function'!A4,data!AB2:AB118,'Positing by Function'!C1)/B4</f>
        <v>0.13793103448275862</v>
      </c>
      <c r="D4" s="7">
        <f>COUNTIFS(data!J:J,'Positing by Function'!A4,data!AB:AB,'Positing by Function'!D1)/B4</f>
        <v>0.10344827586206896</v>
      </c>
      <c r="E4" s="7">
        <f>COUNTIFS(data!J:J,'Positing by Function'!A4,data!AB:AB,'Positing by Function'!E1)/B4</f>
        <v>0.31034482758620691</v>
      </c>
      <c r="F4" s="7">
        <f>COUNTIFS(data!J:J,'Positing by Function'!A4,data!AB:AB,'Positing by Function'!F1)/B4</f>
        <v>0.44827586206896552</v>
      </c>
      <c r="H4" s="7">
        <f t="shared" si="0"/>
        <v>6.7277809080521819E-2</v>
      </c>
      <c r="J4" cm="1">
        <f t="array" ref="J4">MEDIAN(_xlfn._xlws.FILTER(data!S:S,(data!J:J='Positing by Function'!A4)))</f>
        <v>2244610.1039999998</v>
      </c>
      <c r="K4" cm="1">
        <f t="array" ref="K4">MEDIAN(_xlfn._xlws.FILTER(data!V:V,(data!J:J='Positing by Function'!A4)))</f>
        <v>2103117</v>
      </c>
    </row>
    <row r="5" spans="1:11" x14ac:dyDescent="0.35">
      <c r="A5" t="str">
        <v>Financial Planning &amp; Analysis</v>
      </c>
      <c r="B5">
        <f>COUNTIF(data!J2:J119,'Positing by Function'!A5)</f>
        <v>2</v>
      </c>
      <c r="C5" s="7">
        <f>COUNTIFS(data!J2:J119,'Positing by Function'!A5,data!AB2:AB119,'Positing by Function'!C1)/B5</f>
        <v>0</v>
      </c>
      <c r="D5" s="7">
        <f>COUNTIFS(data!J:J,'Positing by Function'!A5,data!AB:AB,'Positing by Function'!D1)/B5</f>
        <v>0</v>
      </c>
      <c r="E5" s="7">
        <f>COUNTIFS(data!J:J,'Positing by Function'!A5,data!AB:AB,'Positing by Function'!E1)/B5</f>
        <v>0</v>
      </c>
      <c r="F5" s="7">
        <f>COUNTIFS(data!J:J,'Positing by Function'!A5,data!AB:AB,'Positing by Function'!F1)/B5</f>
        <v>0</v>
      </c>
      <c r="H5" s="7" t="e">
        <f t="shared" si="0"/>
        <v>#NUM!</v>
      </c>
      <c r="J5" cm="1">
        <f t="array" ref="J5">MEDIAN(_xlfn._xlws.FILTER(data!S:S,(data!J:J='Positing by Function'!A5)))</f>
        <v>2375000</v>
      </c>
      <c r="K5" t="e" cm="1">
        <f t="array" ref="K5">MEDIAN(_xlfn._xlws.FILTER(data!V:V,(data!J:J='Positing by Function'!A5)))</f>
        <v>#NUM!</v>
      </c>
    </row>
    <row r="6" spans="1:11" x14ac:dyDescent="0.35">
      <c r="A6" t="str">
        <v>Internal Database Engineering</v>
      </c>
      <c r="B6">
        <f>COUNTIF(data!J2:J120,'Positing by Function'!A6)</f>
        <v>3</v>
      </c>
      <c r="C6" s="7">
        <f>COUNTIFS(data!J2:J120,'Positing by Function'!A6,data!AB2:AB120,'Positing by Function'!C1)/B6</f>
        <v>0</v>
      </c>
      <c r="D6" s="7">
        <f>COUNTIFS(data!J:J,'Positing by Function'!A6,data!AB:AB,'Positing by Function'!D1)/B6</f>
        <v>0</v>
      </c>
      <c r="E6" s="7">
        <f>COUNTIFS(data!J:J,'Positing by Function'!A6,data!AB:AB,'Positing by Function'!E1)/B6</f>
        <v>0</v>
      </c>
      <c r="F6" s="7">
        <f>COUNTIFS(data!J:J,'Positing by Function'!A6,data!AB:AB,'Positing by Function'!F1)/B6</f>
        <v>0</v>
      </c>
      <c r="H6" s="7" t="e">
        <f t="shared" si="0"/>
        <v>#NUM!</v>
      </c>
      <c r="J6" cm="1">
        <f t="array" ref="J6">MEDIAN(_xlfn._xlws.FILTER(data!S:S,(data!J:J='Positing by Function'!A6)))</f>
        <v>1522522.3329</v>
      </c>
      <c r="K6" t="e" cm="1">
        <f t="array" ref="K6">MEDIAN(_xlfn._xlws.FILTER(data!V:V,(data!J:J='Positing by Function'!A6)))</f>
        <v>#NUM!</v>
      </c>
    </row>
    <row r="7" spans="1:11" x14ac:dyDescent="0.35">
      <c r="A7" t="str">
        <v>General Human Resources</v>
      </c>
      <c r="B7">
        <f>COUNTIF(data!J2:J121,'Positing by Function'!A7)</f>
        <v>2</v>
      </c>
      <c r="C7" s="7">
        <f>COUNTIFS(data!J2:J121,'Positing by Function'!A7,data!AB2:AB121,'Positing by Function'!C1)/B7</f>
        <v>0</v>
      </c>
      <c r="D7" s="7">
        <f>COUNTIFS(data!J:J,'Positing by Function'!A7,data!AB:AB,'Positing by Function'!D1)/B7</f>
        <v>0.5</v>
      </c>
      <c r="E7" s="7">
        <f>COUNTIFS(data!J:J,'Positing by Function'!A7,data!AB:AB,'Positing by Function'!E1)/B7</f>
        <v>0</v>
      </c>
      <c r="F7" s="7">
        <f>COUNTIFS(data!J:J,'Positing by Function'!A7,data!AB:AB,'Positing by Function'!F1)/B7</f>
        <v>0.5</v>
      </c>
      <c r="H7" s="7">
        <f t="shared" si="0"/>
        <v>7.964620134195817E-2</v>
      </c>
      <c r="J7" cm="1">
        <f t="array" ref="J7">MEDIAN(_xlfn._xlws.FILTER(data!S:S,(data!J:J='Positing by Function'!A7)))</f>
        <v>1925000</v>
      </c>
      <c r="K7" cm="1">
        <f t="array" ref="K7">MEDIAN(_xlfn._xlws.FILTER(data!V:V,(data!J:J='Positing by Function'!A7)))</f>
        <v>1782991.5</v>
      </c>
    </row>
    <row r="8" spans="1:11" x14ac:dyDescent="0.35">
      <c r="A8" t="str">
        <v>Software Development Engineering (High Tech)</v>
      </c>
      <c r="B8">
        <f>COUNTIF(data!J2:J122,'Positing by Function'!A8)</f>
        <v>1</v>
      </c>
      <c r="C8" s="7">
        <f>COUNTIFS(data!J2:J122,'Positing by Function'!A8,data!AB2:AB122,'Positing by Function'!C1)/B8</f>
        <v>0</v>
      </c>
      <c r="D8" s="7">
        <f>COUNTIFS(data!J:J,'Positing by Function'!A8,data!AB:AB,'Positing by Function'!D1)/B8</f>
        <v>1</v>
      </c>
      <c r="E8" s="7">
        <f>COUNTIFS(data!J:J,'Positing by Function'!A8,data!AB:AB,'Positing by Function'!E1)/B8</f>
        <v>0</v>
      </c>
      <c r="F8" s="7">
        <f>COUNTIFS(data!J:J,'Positing by Function'!A8,data!AB:AB,'Positing by Function'!F1)/B8</f>
        <v>0</v>
      </c>
      <c r="H8" s="7">
        <f t="shared" si="0"/>
        <v>-5.2742642220304406E-2</v>
      </c>
      <c r="J8" cm="1">
        <f t="array" ref="J8">MEDIAN(_xlfn._xlws.FILTER(data!S:S,(data!J:J='Positing by Function'!A8)))</f>
        <v>2196414.1608000002</v>
      </c>
      <c r="K8" cm="1">
        <f t="array" ref="K8">MEDIAN(_xlfn._xlws.FILTER(data!V:V,(data!J:J='Positing by Function'!A8)))</f>
        <v>2318709</v>
      </c>
    </row>
    <row r="9" spans="1:11" x14ac:dyDescent="0.35">
      <c r="A9" t="str">
        <v>Scrum Master</v>
      </c>
      <c r="B9">
        <f>COUNTIF(data!J2:J123,'Positing by Function'!A9)</f>
        <v>2</v>
      </c>
      <c r="C9" s="7">
        <f>COUNTIFS(data!J9:J123,'Positing by Function'!A9,data!AB9:AB123,'Positing by Function'!C8)/B9</f>
        <v>0</v>
      </c>
      <c r="D9" s="7">
        <f>COUNTIFS(data!J:J,'Positing by Function'!A9,data!AB:AB,'Positing by Function'!D1)/B9</f>
        <v>0</v>
      </c>
      <c r="E9" s="7">
        <f>COUNTIFS(data!J:J,'Positing by Function'!A9,data!AB:AB,'Positing by Function'!E1)/B9</f>
        <v>0</v>
      </c>
      <c r="F9" s="7">
        <f>COUNTIFS(data!J:J,'Positing by Function'!A9,data!AB:AB,'Positing by Function'!F1)/B9</f>
        <v>0</v>
      </c>
      <c r="H9" s="7" t="e">
        <f t="shared" si="0"/>
        <v>#NUM!</v>
      </c>
      <c r="J9" cm="1">
        <f t="array" ref="J9">MEDIAN(_xlfn._xlws.FILTER(data!S:S,(data!J:J='Positing by Function'!A9)))</f>
        <v>1825337.9935000001</v>
      </c>
      <c r="K9" t="e" cm="1">
        <f t="array" ref="K9">MEDIAN(_xlfn._xlws.FILTER(data!V:V,(data!J:J='Positing by Function'!A9)))</f>
        <v>#NUM!</v>
      </c>
    </row>
    <row r="10" spans="1:11" x14ac:dyDescent="0.35">
      <c r="A10" t="str">
        <v>Supply Chain Planning (Outsourcing &amp; Global Capability Centers)</v>
      </c>
      <c r="B10">
        <f>COUNTIF(data!J2:J124,'Positing by Function'!A10)</f>
        <v>39</v>
      </c>
      <c r="C10" s="7">
        <f>COUNTIFS(data!J10:J124,'Positing by Function'!A10,data!AB10:AB124,'Positing by Function'!C1)/B10</f>
        <v>7.6923076923076927E-2</v>
      </c>
      <c r="D10" s="7">
        <f>COUNTIFS(data!J:J,'Positing by Function'!A10,data!AB:AB,'Positing by Function'!D1)/B10</f>
        <v>0.69230769230769229</v>
      </c>
      <c r="E10" s="7">
        <f>COUNTIFS(data!J:J,'Positing by Function'!A10,data!AB:AB,'Positing by Function'!E1)/B10</f>
        <v>0.12820512820512819</v>
      </c>
      <c r="F10" s="7">
        <f>COUNTIFS(data!J:J,'Positing by Function'!A10,data!AB:AB,'Positing by Function'!F1)/B10</f>
        <v>0.10256410256410256</v>
      </c>
      <c r="H10" s="7">
        <f t="shared" si="0"/>
        <v>-4.2488761190804372E-2</v>
      </c>
      <c r="J10" cm="1">
        <f t="array" ref="J10">MEDIAN(_xlfn._xlws.FILTER(data!S:S,(data!J:J='Positing by Function'!A10)))</f>
        <v>540539.98959999997</v>
      </c>
      <c r="K10" cm="1">
        <f t="array" ref="K10">MEDIAN(_xlfn._xlws.FILTER(data!V:V,(data!J:J='Positing by Function'!A10)))</f>
        <v>564526</v>
      </c>
    </row>
    <row r="11" spans="1:11" x14ac:dyDescent="0.35">
      <c r="A11" t="str">
        <v>Data Management (Outsourcing &amp; Global Capability Centers)</v>
      </c>
      <c r="B11">
        <f>COUNTIF(data!J2:J125,'Positing by Function'!A11)</f>
        <v>1</v>
      </c>
      <c r="C11" s="7">
        <f>COUNTIFS(data!J11:J125,'Positing by Function'!A11,data!AB11:AB125,'Positing by Function'!C10)/B11</f>
        <v>0</v>
      </c>
      <c r="D11" s="7">
        <f>COUNTIFS(data!J:J,'Positing by Function'!A11,data!AB:AB,'Positing by Function'!D1)/B11</f>
        <v>0</v>
      </c>
      <c r="E11" s="7">
        <f>COUNTIFS(data!J:J,'Positing by Function'!A11,data!AB:AB,'Positing by Function'!E1)/B11</f>
        <v>0</v>
      </c>
      <c r="F11" s="7">
        <f>COUNTIFS(data!J:J,'Positing by Function'!A11,data!AB:AB,'Positing by Function'!F1)/B11</f>
        <v>1</v>
      </c>
      <c r="H11" s="7">
        <f t="shared" si="0"/>
        <v>1.6105451871811627</v>
      </c>
      <c r="J11" cm="1">
        <f t="array" ref="J11">MEDIAN(_xlfn._xlws.FILTER(data!S:S,(data!J:J='Positing by Function'!A11)))</f>
        <v>1542357.0864000001</v>
      </c>
      <c r="K11" cm="1">
        <f t="array" ref="K11">MEDIAN(_xlfn._xlws.FILTER(data!V:V,(data!J:J='Positing by Function'!A11)))</f>
        <v>590818</v>
      </c>
    </row>
    <row r="12" spans="1:11" x14ac:dyDescent="0.35">
      <c r="A12" t="str">
        <v>General IT User Support</v>
      </c>
      <c r="B12">
        <f>COUNTIF(data!J2:J126,'Positing by Function'!A12)</f>
        <v>2</v>
      </c>
      <c r="C12" s="7">
        <f>COUNTIFS(data!J12:J126,'Positing by Function'!A12,data!AB12:AB126,'Positing by Function'!C11)/B12</f>
        <v>0</v>
      </c>
      <c r="D12" s="7">
        <f>COUNTIFS(data!J:J,'Positing by Function'!A12,data!AB:AB,'Positing by Function'!D1)/B12</f>
        <v>0</v>
      </c>
      <c r="E12" s="7">
        <f>COUNTIFS(data!J:J,'Positing by Function'!A12,data!AB:AB,'Positing by Function'!E1)/B12</f>
        <v>0</v>
      </c>
      <c r="F12" s="7">
        <f>COUNTIFS(data!J:J,'Positing by Function'!A12,data!AB:AB,'Positing by Function'!F1)/B12</f>
        <v>1</v>
      </c>
      <c r="H12" s="7">
        <f t="shared" si="0"/>
        <v>0.96145486068037544</v>
      </c>
      <c r="J12" cm="1">
        <f t="array" ref="J12">MEDIAN(_xlfn._xlws.FILTER(data!S:S,(data!J:J='Positing by Function'!A12)))</f>
        <v>1150450.1579799999</v>
      </c>
      <c r="K12" cm="1">
        <f t="array" ref="K12">MEDIAN(_xlfn._xlws.FILTER(data!V:V,(data!J:J='Positing by Function'!A12)))</f>
        <v>586529</v>
      </c>
    </row>
    <row r="13" spans="1:11" x14ac:dyDescent="0.35">
      <c r="A13" t="str">
        <v>Accounts Payable/Receivable (Outsourcing &amp; Global Capability Centers)</v>
      </c>
      <c r="B13">
        <f>COUNTIF(data!J2:J127,'Positing by Function'!A13)</f>
        <v>8</v>
      </c>
      <c r="C13" s="7">
        <f>COUNTIFS(data!J:J,'Positing by Function'!A13,data!AB:AB,'Positing by Function'!C1)/B13</f>
        <v>0.5</v>
      </c>
      <c r="D13" s="7">
        <f>COUNTIFS(data!J:J,'Positing by Function'!A13,data!AB:AB,'Positing by Function'!D1)/B13</f>
        <v>0.5</v>
      </c>
      <c r="E13" s="7">
        <f>COUNTIFS(data!J:J,'Positing by Function'!A13,data!AB:AB,'Positing by Function'!E1)/B13</f>
        <v>0</v>
      </c>
      <c r="F13" s="7">
        <f>COUNTIFS(data!J:J,'Positing by Function'!A13,data!AB:AB,'Positing by Function'!F1)/B13</f>
        <v>0</v>
      </c>
      <c r="H13" s="7">
        <f t="shared" si="0"/>
        <v>-9.4552391836953589E-2</v>
      </c>
      <c r="J13" cm="1">
        <f t="array" ref="J13">MEDIAN(_xlfn._xlws.FILTER(data!S:S,(data!J:J='Positing by Function'!A13)))</f>
        <v>540314.99479999999</v>
      </c>
      <c r="K13" cm="1">
        <f t="array" ref="K13">MEDIAN(_xlfn._xlws.FILTER(data!V:V,(data!J:J='Positing by Function'!A13)))</f>
        <v>596738</v>
      </c>
    </row>
    <row r="14" spans="1:11" x14ac:dyDescent="0.35">
      <c r="A14" t="str">
        <v>General Office Administration &amp; Secretarial Management</v>
      </c>
      <c r="B14">
        <f>COUNTIF(data!J2:J128,'Positing by Function'!A14)</f>
        <v>1</v>
      </c>
      <c r="C14" s="7">
        <f>COUNTIFS(data!J2:J128,'Positing by Function'!A14,data!AB2:AB128,'Positing by Function'!C1)/B14</f>
        <v>0</v>
      </c>
      <c r="D14" s="7">
        <f>COUNTIFS(data!J:J,'Positing by Function'!A14,data!AB:AB,'Positing by Function'!D1)/B14</f>
        <v>0</v>
      </c>
      <c r="E14" s="7">
        <f>COUNTIFS(data!J:J,'Positing by Function'!A14,data!AB:AB,'Positing by Function'!E1)/B14</f>
        <v>0</v>
      </c>
      <c r="F14" s="7">
        <f>COUNTIFS(data!J:J,'Positing by Function'!A14,data!AB:AB,'Positing by Function'!F1)/B14</f>
        <v>1</v>
      </c>
      <c r="H14" s="7">
        <f t="shared" si="0"/>
        <v>0.50365943221819842</v>
      </c>
      <c r="J14" cm="1">
        <f t="array" ref="J14">MEDIAN(_xlfn._xlws.FILTER(data!S:S,(data!J:J='Positing by Function'!A14)))</f>
        <v>950000</v>
      </c>
      <c r="K14" cm="1">
        <f t="array" ref="K14">MEDIAN(_xlfn._xlws.FILTER(data!V:V,(data!J:J='Positing by Function'!A14)))</f>
        <v>631792</v>
      </c>
    </row>
    <row r="15" spans="1:11" x14ac:dyDescent="0.35">
      <c r="A15" t="str">
        <v>Data Analytics</v>
      </c>
      <c r="B15">
        <f>COUNTIF(data!J2:J129,'Positing by Function'!A15)</f>
        <v>2</v>
      </c>
      <c r="C15" s="7">
        <f>COUNTIFS(data!J2:J129,'Positing by Function'!A15,data!AB2:AB129,'Positing by Function'!C1)/B15</f>
        <v>0.5</v>
      </c>
      <c r="D15" s="7">
        <f>COUNTIFS(data!J:J,'Positing by Function'!A15,data!AB:AB,'Positing by Function'!D1)/B15</f>
        <v>0.5</v>
      </c>
      <c r="E15" s="7">
        <f>COUNTIFS(data!J:J,'Positing by Function'!A15,data!AB:AB,'Positing by Function'!E1)/B15</f>
        <v>0</v>
      </c>
      <c r="F15" s="7">
        <f>COUNTIFS(data!J:J,'Positing by Function'!A15,data!AB:AB,'Positing by Function'!F1)/B15</f>
        <v>0</v>
      </c>
      <c r="H15" s="7">
        <f t="shared" si="0"/>
        <v>-0.20169601577166762</v>
      </c>
      <c r="J15" cm="1">
        <f t="array" ref="J15">MEDIAN(_xlfn._xlws.FILTER(data!S:S,(data!J:J='Positing by Function'!A15)))</f>
        <v>653153.16060000006</v>
      </c>
      <c r="K15" cm="1">
        <f t="array" ref="K15">MEDIAN(_xlfn._xlws.FILTER(data!V:V,(data!J:J='Positing by Function'!A15)))</f>
        <v>818176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748CB-32E5-400F-BCBA-C9AED7E59F6D}">
  <sheetPr codeName="Sheet10"/>
  <dimension ref="A1:G14"/>
  <sheetViews>
    <sheetView workbookViewId="0">
      <selection activeCell="C22" sqref="C22"/>
    </sheetView>
  </sheetViews>
  <sheetFormatPr defaultRowHeight="14.5" x14ac:dyDescent="0.35"/>
  <cols>
    <col min="2" max="3" width="8.90625" bestFit="1" customWidth="1"/>
  </cols>
  <sheetData>
    <row r="1" spans="1:7" x14ac:dyDescent="0.35">
      <c r="B1" t="s">
        <v>20</v>
      </c>
    </row>
    <row r="2" spans="1:7" x14ac:dyDescent="0.35">
      <c r="A2" t="s">
        <v>72</v>
      </c>
      <c r="B2" s="6">
        <f>(COUNTIF(data!Y2:Y5000,"Male"))/(COUNTA(data!Y2:Y5000))</f>
        <v>0.78260869565217395</v>
      </c>
    </row>
    <row r="3" spans="1:7" x14ac:dyDescent="0.35">
      <c r="A3" t="s">
        <v>79</v>
      </c>
      <c r="B3" s="6">
        <f>(COUNTIF(data!Y2:Y5000,"Female"))/(COUNTA(data!Y2:Y5000))</f>
        <v>0.21739130434782608</v>
      </c>
      <c r="G3" s="35"/>
    </row>
    <row r="5" spans="1:7" x14ac:dyDescent="0.35">
      <c r="B5" t="s">
        <v>72</v>
      </c>
      <c r="C5" t="s">
        <v>79</v>
      </c>
    </row>
    <row r="6" spans="1:7" x14ac:dyDescent="0.35">
      <c r="A6" t="s">
        <v>23</v>
      </c>
      <c r="B6" s="6">
        <f>COUNTIFS(data!N2:N5000,'Gender vs pay'!A6,data!Y2:Y5000,'Gender vs pay'!B5)/(COUNTIF(data!N2:N5000,'Gender vs pay'!A6))</f>
        <v>0.6875</v>
      </c>
      <c r="C6" s="6">
        <f>(COUNTIFS(data!N2:N5000,'Gender vs pay'!A6,data!Y2:Y5000,'Gender vs pay'!C5))/(COUNTIF(data!N2:N5000,'Gender vs pay'!A6))</f>
        <v>0.3125</v>
      </c>
    </row>
    <row r="7" spans="1:7" x14ac:dyDescent="0.35">
      <c r="A7" t="s">
        <v>22</v>
      </c>
      <c r="B7" s="6">
        <f>(COUNTIFS(data!N3:N5001,'Gender vs pay'!A7,data!Y2:Y5000,'Gender vs pay'!B5))/(COUNTIF(data!N2:N5000,'Gender vs pay'!A7))</f>
        <v>0.75824175824175821</v>
      </c>
      <c r="C7" s="6">
        <f>(COUNTIFS(data!N3:N5001,'Gender vs pay'!A7,data!Y2:Y5000,'Gender vs pay'!C5))/(COUNTIF(data!N2:N5000,'Gender vs pay'!A7))</f>
        <v>0.24175824175824176</v>
      </c>
    </row>
    <row r="8" spans="1:7" x14ac:dyDescent="0.35">
      <c r="A8" t="s">
        <v>128</v>
      </c>
      <c r="B8" s="6">
        <f>(COUNTIFS(data!N4:N5002,'Gender vs pay'!A8,data!Y2:Y5000,'Gender vs pay'!B5))/(COUNTIF(data!N2:N5000,'Gender vs pay'!A8))</f>
        <v>0.75</v>
      </c>
      <c r="C8" s="6">
        <f>(COUNTIFS(data!N4:N5002,'Gender vs pay'!A8,data!Y2:Y5000,'Gender vs pay'!C5))/(COUNTIF(data!N2:N5000,'Gender vs pay'!A8))</f>
        <v>0.25</v>
      </c>
    </row>
    <row r="11" spans="1:7" x14ac:dyDescent="0.35">
      <c r="B11" t="s">
        <v>72</v>
      </c>
      <c r="C11" t="s">
        <v>79</v>
      </c>
    </row>
    <row r="12" spans="1:7" x14ac:dyDescent="0.35">
      <c r="A12" t="s">
        <v>23</v>
      </c>
      <c r="B12" s="1" cm="1">
        <f t="array" ref="B12">MEDIAN(_xlfn._xlws.FILTER(data!S2:S5000,(data!N2:N5000=A12)*(data!Y2:Y5000=B11)))</f>
        <v>3500000</v>
      </c>
      <c r="C12" s="1" cm="1">
        <f t="array" ref="C12">MEDIAN(_xlfn._xlws.FILTER(data!S2:S5000,(data!N2:N5000=A12)*(data!Y2:Y5000=C11)))</f>
        <v>3220339.3415999999</v>
      </c>
    </row>
    <row r="13" spans="1:7" x14ac:dyDescent="0.35">
      <c r="A13" t="s">
        <v>22</v>
      </c>
      <c r="B13" s="1" cm="1">
        <f t="array" ref="B13">MEDIAN(_xlfn._xlws.FILTER(data!S2:S5000,(data!N2:N5000=A13)*(data!Y2:Y5000=B11)))</f>
        <v>1100000</v>
      </c>
      <c r="C13" s="1" cm="1">
        <f t="array" ref="C13">MEDIAN(_xlfn._xlws.FILTER(data!S2:S5000,(data!N2:N5000=A13)*(data!Y2:Y5000=C11)))</f>
        <v>1510647.8000000003</v>
      </c>
    </row>
    <row r="14" spans="1:7" x14ac:dyDescent="0.35">
      <c r="A14" t="s">
        <v>128</v>
      </c>
      <c r="B14" s="1" cm="1">
        <f t="array" ref="B14">MEDIAN(_xlfn._xlws.FILTER(data!S2:S5000,(data!N2:N5000=A14)*(data!Y2:Y5000=B11)))</f>
        <v>564870.47297999996</v>
      </c>
      <c r="C14" s="1" cm="1">
        <f t="array" ref="C14">MEDIAN(_xlfn._xlws.FILTER(data!S2:S5000,(data!N2:N5000=A14)*(data!Y2:Y5000=C11)))</f>
        <v>479505.01040000003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DAC78-D8F5-4B08-9A4C-D0AE527751BC}">
  <sheetPr codeName="Sheet9"/>
  <dimension ref="A1:L9"/>
  <sheetViews>
    <sheetView workbookViewId="0">
      <selection activeCell="D2" sqref="D2"/>
    </sheetView>
  </sheetViews>
  <sheetFormatPr defaultRowHeight="14.5" x14ac:dyDescent="0.35"/>
  <sheetData>
    <row r="1" spans="1:12" x14ac:dyDescent="0.35">
      <c r="B1" t="s">
        <v>167</v>
      </c>
      <c r="C1" t="s">
        <v>168</v>
      </c>
      <c r="D1" t="s">
        <v>107</v>
      </c>
      <c r="E1" t="s">
        <v>169</v>
      </c>
      <c r="F1" t="s">
        <v>170</v>
      </c>
      <c r="G1" t="s">
        <v>171</v>
      </c>
      <c r="H1" t="s">
        <v>172</v>
      </c>
      <c r="I1" t="s">
        <v>173</v>
      </c>
      <c r="J1" t="s">
        <v>174</v>
      </c>
      <c r="K1" t="s">
        <v>175</v>
      </c>
      <c r="L1" t="s">
        <v>176</v>
      </c>
    </row>
    <row r="2" spans="1:12" x14ac:dyDescent="0.35">
      <c r="A2" t="str" cm="1">
        <f t="array" ref="A2:A9">_xlfn.UNIQUE(data!L2:L5000)</f>
        <v>E2</v>
      </c>
      <c r="B2" cm="1">
        <f t="array" ref="B2">COUNTA(_xlfn._xlws.FILTER(data!C2:L5000,data!C1:L5000='Lvl Wise table'!A2))</f>
        <v>1</v>
      </c>
      <c r="C2" cm="1">
        <f t="array" ref="C2">MIN(_xlfn._xlws.FILTER(data!S2:S5000,(data!L2:L5000=A2)))</f>
        <v>7003595.4960000003</v>
      </c>
      <c r="D2" cm="1">
        <f t="array" ref="D2">_xlfn.PERCENTILE.INC(_xlfn._xlws.FILTER(data!S2:S5000,(data!L2:L5000=A2)),0.1)</f>
        <v>7003595.4960000003</v>
      </c>
      <c r="E2" cm="1">
        <f t="array" ref="E2">_xlfn.PERCENTILE.INC(_xlfn._xlws.FILTER(data!S2:S5000,(data!L2:L5000=A2)),0.25)</f>
        <v>7003595.4960000003</v>
      </c>
      <c r="F2" cm="1">
        <f t="array" ref="F2">_xlfn.PERCENTILE.INC(_xlfn._xlws.FILTER(data!S2:S5000,(data!L2:L5000=A2)),0.5)</f>
        <v>7003595.4960000003</v>
      </c>
      <c r="G2" cm="1">
        <f t="array" ref="G2">_xlfn.PERCENTILE.INC(_xlfn._xlws.FILTER(data!S2:S5000,(data!L2:L5000=A2)),0.75)</f>
        <v>7003595.4960000003</v>
      </c>
      <c r="H2" cm="1">
        <f t="array" ref="H2">_xlfn.PERCENTILE.INC(_xlfn._xlws.FILTER(data!S2:S5000,(data!L2:L5000=A2)),0.9)</f>
        <v>7003595.4960000003</v>
      </c>
      <c r="I2" cm="1">
        <f t="array" ref="I2">MAX(_xlfn._xlws.FILTER(data!S2:S5000,(data!L2:L5000=A2)))</f>
        <v>7003595.4960000003</v>
      </c>
      <c r="J2" s="7">
        <f>(I2-C2)/C2</f>
        <v>0</v>
      </c>
      <c r="K2" s="7">
        <f>(H2-C2)/C2</f>
        <v>0</v>
      </c>
    </row>
    <row r="3" spans="1:12" x14ac:dyDescent="0.35">
      <c r="A3" t="str">
        <v>E1</v>
      </c>
      <c r="B3" cm="1">
        <f t="array" ref="B3">COUNTA(_xlfn._xlws.FILTER(data!L2:L5000,data!L2:L5000='Lvl Wise table'!A3))</f>
        <v>2</v>
      </c>
      <c r="C3" cm="1">
        <f t="array" ref="C3">MIN(_xlfn._xlws.FILTER(data!S2:S5000,(data!L2:L5000=A3)))</f>
        <v>6150000</v>
      </c>
      <c r="D3" cm="1">
        <f t="array" ref="D3">_xlfn.PERCENTILE.INC(_xlfn._xlws.FILTER(data!S2:S5000,(data!L2:L5000=A3)),0.1)</f>
        <v>6150002.5258719996</v>
      </c>
      <c r="E3" cm="1">
        <f t="array" ref="E3">_xlfn.PERCENTILE.INC(_xlfn._xlws.FILTER(data!S2:S5000,(data!L2:L5000=A3)),0.25)</f>
        <v>6150006.3146799998</v>
      </c>
      <c r="F3" cm="1">
        <f t="array" ref="F3">_xlfn.PERCENTILE.INC(_xlfn._xlws.FILTER(data!S2:S5000,(data!L2:L5000=A3)),0.5)</f>
        <v>6150012.6293599997</v>
      </c>
      <c r="G3" cm="1">
        <f t="array" ref="G3">_xlfn.PERCENTILE.INC(_xlfn._xlws.FILTER(data!S2:S5000,(data!L2:L5000=A3)),0.75)</f>
        <v>6150018.9440400004</v>
      </c>
      <c r="H3" cm="1">
        <f t="array" ref="H3">_xlfn.PERCENTILE.INC(_xlfn._xlws.FILTER(data!S2:S5000,(data!L2:L5000=A3)),0.9)</f>
        <v>6150022.7328479998</v>
      </c>
      <c r="I3" cm="1">
        <f t="array" ref="I3">MAX(_xlfn._xlws.FILTER(data!S2:S5000,(data!L2:L5000=A3)))</f>
        <v>6150025.2587200003</v>
      </c>
      <c r="J3" s="7">
        <f t="shared" ref="J3:J8" si="0">(I3-C3)/C3</f>
        <v>4.1071089431340616E-6</v>
      </c>
      <c r="K3" s="7">
        <f t="shared" ref="K3:K8" si="1">(H3-C3)/C3</f>
        <v>3.6963980487449384E-6</v>
      </c>
    </row>
    <row r="4" spans="1:12" x14ac:dyDescent="0.35">
      <c r="A4" t="str">
        <v>D2</v>
      </c>
      <c r="B4" cm="1">
        <f t="array" ref="B4">COUNTA(_xlfn._xlws.FILTER(data!L2:L5000,data!L2:L5000='Lvl Wise table'!A4))</f>
        <v>8</v>
      </c>
      <c r="C4" cm="1">
        <f t="array" ref="C4">MIN(_xlfn._xlws.FILTER(data!S2:S5000,(data!L2:L5000=A4)))</f>
        <v>3092837.5847999998</v>
      </c>
      <c r="D4" cm="1">
        <f t="array" ref="D4">_xlfn.PERCENTILE.INC(_xlfn._xlws.FILTER(data!S2:S5000,(data!L2:L5000=A4)),0.1)</f>
        <v>3182088.8145599999</v>
      </c>
      <c r="E4" cm="1">
        <f t="array" ref="E4">_xlfn.PERCENTILE.INC(_xlfn._xlws.FILTER(data!S2:S5000,(data!L2:L5000=A4)),0.25)</f>
        <v>3346684.8354000002</v>
      </c>
      <c r="F4" cm="1">
        <f t="array" ref="F4">_xlfn.PERCENTILE.INC(_xlfn._xlws.FILTER(data!S2:S5000,(data!L2:L5000=A4)),0.5)</f>
        <v>3550000</v>
      </c>
      <c r="G4" cm="1">
        <f t="array" ref="G4">_xlfn.PERCENTILE.INC(_xlfn._xlws.FILTER(data!S2:S5000,(data!L2:L5000=A4)),0.75)</f>
        <v>4228992.6400000006</v>
      </c>
      <c r="H4" cm="1">
        <f t="array" ref="H4">_xlfn.PERCENTILE.INC(_xlfn._xlws.FILTER(data!S2:S5000,(data!L2:L5000=A4)),0.9)</f>
        <v>4543468.1439999994</v>
      </c>
      <c r="I4" cm="1">
        <f t="array" ref="I4">MAX(_xlfn._xlws.FILTER(data!S2:S5000,(data!L2:L5000=A4)))</f>
        <v>4674011.76</v>
      </c>
      <c r="J4" s="7">
        <f t="shared" si="0"/>
        <v>0.51123737727800778</v>
      </c>
      <c r="K4" s="7">
        <f t="shared" si="1"/>
        <v>0.4690290128163343</v>
      </c>
    </row>
    <row r="5" spans="1:12" x14ac:dyDescent="0.35">
      <c r="A5" t="str">
        <v>D1</v>
      </c>
      <c r="B5" cm="1">
        <f t="array" ref="B5">COUNTA(_xlfn._xlws.FILTER(data!L2:L5000,data!L2:L5000='Lvl Wise table'!A5))</f>
        <v>16</v>
      </c>
      <c r="C5" cm="1">
        <f t="array" ref="C5">MIN(_xlfn._xlws.FILTER(data!S2:S5000,(data!L2:L5000=A5)))</f>
        <v>1178399.1359999999</v>
      </c>
      <c r="D5" cm="1">
        <f t="array" ref="D5">_xlfn.PERCENTILE.INC(_xlfn._xlws.FILTER(data!S2:S5000,(data!L2:L5000=A5)),0.1)</f>
        <v>1640539.9896</v>
      </c>
      <c r="E5" cm="1">
        <f t="array" ref="E5">_xlfn.PERCENTILE.INC(_xlfn._xlws.FILTER(data!S2:S5000,(data!L2:L5000=A5)),0.25)</f>
        <v>2204816.7570599997</v>
      </c>
      <c r="F5" cm="1">
        <f t="array" ref="F5">_xlfn.PERCENTILE.INC(_xlfn._xlws.FILTER(data!S2:S5000,(data!L2:L5000=A5)),0.5)</f>
        <v>2647042.3984000003</v>
      </c>
      <c r="G5" cm="1">
        <f t="array" ref="G5">_xlfn.PERCENTILE.INC(_xlfn._xlws.FILTER(data!S2:S5000,(data!L2:L5000=A5)),0.75)</f>
        <v>2830407.1304000001</v>
      </c>
      <c r="H5" cm="1">
        <f t="array" ref="H5">_xlfn.PERCENTILE.INC(_xlfn._xlws.FILTER(data!S2:S5000,(data!L2:L5000=A5)),0.9)</f>
        <v>2950292.5641600001</v>
      </c>
      <c r="I5" cm="1">
        <f t="array" ref="I5">MAX(_xlfn._xlws.FILTER(data!S2:S5000,(data!L2:L5000=A5)))</f>
        <v>3300495.5237999996</v>
      </c>
      <c r="J5" s="7">
        <f t="shared" si="0"/>
        <v>1.8008298911380056</v>
      </c>
      <c r="K5" s="7">
        <f t="shared" si="1"/>
        <v>1.5036445411650405</v>
      </c>
    </row>
    <row r="6" spans="1:12" x14ac:dyDescent="0.35">
      <c r="A6" t="str">
        <v>C2</v>
      </c>
      <c r="B6" cm="1">
        <f t="array" ref="B6">COUNTA(_xlfn._xlws.FILTER(data!L2:L5000,data!L2:L5000='Lvl Wise table'!A6))</f>
        <v>69</v>
      </c>
      <c r="C6" cm="1">
        <f t="array" ref="C6">MIN(_xlfn._xlws.FILTER(data!S2:S5000,(data!L2:L5000=A6)))</f>
        <v>297297.00390000001</v>
      </c>
      <c r="D6" cm="1">
        <f t="array" ref="D6">_xlfn.PERCENTILE.INC(_xlfn._xlws.FILTER(data!S2:S5000,(data!L2:L5000=A6)),0.1)</f>
        <v>540090</v>
      </c>
      <c r="E6" cm="1">
        <f t="array" ref="E6">_xlfn.PERCENTILE.INC(_xlfn._xlws.FILTER(data!S2:S5000,(data!L2:L5000=A6)),0.25)</f>
        <v>540539.98959999997</v>
      </c>
      <c r="F6" cm="1">
        <f t="array" ref="F6">_xlfn.PERCENTILE.INC(_xlfn._xlws.FILTER(data!S2:S5000,(data!L2:L5000=A6)),0.5)</f>
        <v>675676</v>
      </c>
      <c r="G6" cm="1">
        <f t="array" ref="G6">_xlfn.PERCENTILE.INC(_xlfn._xlws.FILTER(data!S2:S5000,(data!L2:L5000=A6)),0.75)</f>
        <v>1754135.1725999999</v>
      </c>
      <c r="H6" cm="1">
        <f t="array" ref="H6">_xlfn.PERCENTILE.INC(_xlfn._xlws.FILTER(data!S2:S5000,(data!L2:L5000=A6)),0.9)</f>
        <v>2182866.5336000002</v>
      </c>
      <c r="I6" cm="1">
        <f t="array" ref="I6">MAX(_xlfn._xlws.FILTER(data!S2:S5000,(data!L2:L5000=A6)))</f>
        <v>2472750</v>
      </c>
      <c r="J6" s="7">
        <f t="shared" si="0"/>
        <v>7.3174400265121546</v>
      </c>
      <c r="K6" s="7">
        <f t="shared" si="1"/>
        <v>6.3423764954396846</v>
      </c>
    </row>
    <row r="7" spans="1:12" x14ac:dyDescent="0.35">
      <c r="A7" t="str">
        <v>B2</v>
      </c>
      <c r="B7" cm="1">
        <f t="array" ref="B7">COUNTA(_xlfn._xlws.FILTER(data!L2:L5000,data!L2:L5000='Lvl Wise table'!A7))</f>
        <v>8</v>
      </c>
      <c r="C7" cm="1">
        <f t="array" ref="C7">MIN(_xlfn._xlws.FILTER(data!S2:S5000,(data!L2:L5000=A7)))</f>
        <v>418920.0208</v>
      </c>
      <c r="D7" cm="1">
        <f t="array" ref="D7">_xlfn.PERCENTILE.INC(_xlfn._xlws.FILTER(data!S2:S5000,(data!L2:L5000=A7)),0.1)</f>
        <v>440990.76684</v>
      </c>
      <c r="E7" cm="1">
        <f t="array" ref="E7">_xlfn.PERCENTILE.INC(_xlfn._xlws.FILTER(data!S2:S5000,(data!L2:L5000=A7)),0.25)</f>
        <v>480861.63866999996</v>
      </c>
      <c r="F7" cm="1">
        <f t="array" ref="F7">_xlfn.PERCENTILE.INC(_xlfn._xlws.FILTER(data!S2:S5000,(data!L2:L5000=A7)),0.5)</f>
        <v>540314.99479999999</v>
      </c>
      <c r="G7" cm="1">
        <f t="array" ref="G7">_xlfn.PERCENTILE.INC(_xlfn._xlws.FILTER(data!S2:S5000,(data!L2:L5000=A7)),0.75)</f>
        <v>589200.95635999995</v>
      </c>
      <c r="H7" cm="1">
        <f t="array" ref="H7">_xlfn.PERCENTILE.INC(_xlfn._xlws.FILTER(data!S2:S5000,(data!L2:L5000=A7)),0.9)</f>
        <v>875147.79537199985</v>
      </c>
      <c r="I7" cm="1">
        <f t="array" ref="I7">MAX(_xlfn._xlws.FILTER(data!S2:S5000,(data!L2:L5000=A7)))</f>
        <v>1542357.0864000001</v>
      </c>
      <c r="J7" s="7">
        <f t="shared" si="0"/>
        <v>2.6817459415155267</v>
      </c>
      <c r="K7" s="7">
        <f t="shared" si="1"/>
        <v>1.0890569844352491</v>
      </c>
    </row>
    <row r="8" spans="1:12" x14ac:dyDescent="0.35">
      <c r="A8" t="str">
        <v>C3</v>
      </c>
      <c r="B8" cm="1">
        <f t="array" ref="B8">COUNTA(_xlfn._xlws.FILTER(data!L2:L5000,data!L2:L5000='Lvl Wise table'!A8))</f>
        <v>11</v>
      </c>
      <c r="C8" cm="1">
        <f t="array" ref="C8">MIN(_xlfn._xlws.FILTER(data!S2:S5000,(data!L2:L5000=A8)))</f>
        <v>700000</v>
      </c>
      <c r="D8" cm="1">
        <f t="array" ref="D8">_xlfn.PERCENTILE.INC(_xlfn._xlws.FILTER(data!S2:S5000,(data!L2:L5000=A8)),0.1)</f>
        <v>1081079.9791999999</v>
      </c>
      <c r="E8" cm="1">
        <f t="array" ref="E8">_xlfn.PERCENTILE.INC(_xlfn._xlws.FILTER(data!S2:S5000,(data!L2:L5000=A8)),0.25)</f>
        <v>1095125.2050000001</v>
      </c>
      <c r="F8" cm="1">
        <f t="array" ref="F8">_xlfn.PERCENTILE.INC(_xlfn._xlws.FILTER(data!S2:S5000,(data!L2:L5000=A8)),0.5)</f>
        <v>1205439.6731999998</v>
      </c>
      <c r="G8" cm="1">
        <f t="array" ref="G8">_xlfn.PERCENTILE.INC(_xlfn._xlws.FILTER(data!S2:S5000,(data!L2:L5000=A8)),0.75)</f>
        <v>1324566.72</v>
      </c>
      <c r="H8" cm="1">
        <f t="array" ref="H8">_xlfn.PERCENTILE.INC(_xlfn._xlws.FILTER(data!S2:S5000,(data!L2:L5000=A8)),0.9)</f>
        <v>1430188.8555999999</v>
      </c>
      <c r="I8" cm="1">
        <f t="array" ref="I8">MAX(_xlfn._xlws.FILTER(data!S2:S5000,(data!L2:L5000=A8)))</f>
        <v>1482219.6</v>
      </c>
      <c r="J8" s="7">
        <f t="shared" si="0"/>
        <v>1.1174565714285716</v>
      </c>
      <c r="K8" s="7">
        <f t="shared" si="1"/>
        <v>1.0431269365714284</v>
      </c>
    </row>
    <row r="9" spans="1:12" x14ac:dyDescent="0.35">
      <c r="A9">
        <v>0</v>
      </c>
      <c r="B9" cm="1">
        <f t="array" ref="B9">COUNTA(_xlfn._xlws.FILTER(data!L2:L5000,data!L2:L5000=A9))</f>
        <v>4884</v>
      </c>
      <c r="C9" cm="1">
        <f t="array" ref="C9">MIN(_xlfn._xlws.FILTER(data!S2:S5000,(data!L2:L5000=A9)))</f>
        <v>0</v>
      </c>
      <c r="K9" s="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8F2BB-280C-429F-8B7E-CA1FF050A5D7}">
  <sheetPr codeName="Sheet11"/>
  <dimension ref="A1:U12"/>
  <sheetViews>
    <sheetView workbookViewId="0">
      <selection activeCell="A3" sqref="A3"/>
    </sheetView>
  </sheetViews>
  <sheetFormatPr defaultRowHeight="14.5" x14ac:dyDescent="0.35"/>
  <cols>
    <col min="8" max="8" width="13.54296875" bestFit="1" customWidth="1"/>
    <col min="10" max="11" width="8.7265625" hidden="1" customWidth="1"/>
    <col min="14" max="14" width="13.7265625" customWidth="1"/>
    <col min="15" max="15" width="12" customWidth="1"/>
    <col min="16" max="16" width="12.81640625" customWidth="1"/>
    <col min="17" max="17" width="13.81640625" customWidth="1"/>
    <col min="18" max="18" width="12.08984375" customWidth="1"/>
    <col min="19" max="19" width="11.26953125" customWidth="1"/>
    <col min="20" max="20" width="13.81640625" customWidth="1"/>
    <col min="21" max="21" width="13.26953125" customWidth="1"/>
  </cols>
  <sheetData>
    <row r="1" spans="1:21" x14ac:dyDescent="0.35">
      <c r="B1" t="s">
        <v>166</v>
      </c>
      <c r="C1" t="s">
        <v>25</v>
      </c>
      <c r="D1" t="s">
        <v>26</v>
      </c>
      <c r="E1" t="s">
        <v>27</v>
      </c>
      <c r="F1" t="s">
        <v>28</v>
      </c>
      <c r="H1" t="s">
        <v>177</v>
      </c>
    </row>
    <row r="2" spans="1:21" x14ac:dyDescent="0.35">
      <c r="A2" t="str" cm="1">
        <f t="array" ref="A2:A9">_xlfn.UNIQUE(data!L2:L5000)</f>
        <v>E2</v>
      </c>
      <c r="B2" cm="1">
        <f t="array" ref="B2">COUNTA(_xlfn._xlws.FILTER(data!L2:L5000,data!L2:L5000='Lvl Wise table'!A2))</f>
        <v>1</v>
      </c>
      <c r="C2" s="7">
        <f>COUNTIFS(data!L2:L116,'Lvl Wise table'!A2,data!AB2:AB116,'Lvl Wise table'!C1)/'Lvl Wise table'!B2</f>
        <v>0</v>
      </c>
      <c r="D2" s="7">
        <f>COUNTIFS(data!L2:L116,'Lvl Wise table'!A2,data!AB2:AB116,'Lvl Wise table'!D1)/'Lvl Wise table'!B2</f>
        <v>0</v>
      </c>
      <c r="E2" s="7">
        <f>COUNTIFS(data!L2:L116,'Lvl Wise table'!A2,data!AB2:AB116,'Lvl Wise table'!E1)/'Lvl Wise table'!B2</f>
        <v>0</v>
      </c>
      <c r="F2" s="7">
        <f>COUNTIFS(data!L2:L116,'Lvl Wise table'!A2,data!AB2:AB116,'Lvl Wise table'!F1)/'Lvl Wise table'!B2</f>
        <v>1</v>
      </c>
      <c r="G2" s="7"/>
      <c r="H2" s="7">
        <f>(J2-K2)/K2</f>
        <v>0.39179103804912252</v>
      </c>
      <c r="J2" cm="1">
        <f t="array" ref="J2">(MEDIAN(_xlfn._xlws.FILTER(data!S2:S116,(data!L2:L116='Lvl Wise table'!A2))))</f>
        <v>7003595.4960000003</v>
      </c>
      <c r="K2" cm="1">
        <f t="array" ref="K2">MEDIAN(_xlfn._xlws.FILTER(data!V2:V116,data!L2:L116='Lvl Wise table'!A2))</f>
        <v>5032074</v>
      </c>
    </row>
    <row r="3" spans="1:21" ht="15" thickBot="1" x14ac:dyDescent="0.4">
      <c r="A3" t="str">
        <v>E1</v>
      </c>
      <c r="B3" cm="1">
        <f t="array" ref="B3">COUNTA(_xlfn._xlws.FILTER(data!L3:L5001,data!L3:L5001='Lvl Wise table'!A3))</f>
        <v>2</v>
      </c>
      <c r="C3" s="7">
        <f>COUNTIFS(data!L3:L117,'Lvl Wise table'!A3,data!AB3:AB117,'Lvl Wise table'!C1)/'Lvl Wise table'!B3</f>
        <v>0</v>
      </c>
      <c r="D3" s="7">
        <f>COUNTIFS(data!L3:L117,'Lvl Wise table'!A3,data!AB3:AB117,'Lvl Wise table'!D1)/'Lvl Wise table'!B3</f>
        <v>0</v>
      </c>
      <c r="E3" s="7">
        <f>COUNTIFS(data!L3:L117,'Lvl Wise table'!A3,data!AB3:AB117,'Lvl Wise table'!E1)/'Lvl Wise table'!B3</f>
        <v>0</v>
      </c>
      <c r="F3" s="7">
        <f>COUNTIFS(data!L3:L117,'Lvl Wise table'!A3,data!AB3:AB117,'Lvl Wise table'!F1)/'Lvl Wise table'!B3</f>
        <v>1</v>
      </c>
      <c r="H3" s="7">
        <f t="shared" ref="H3:H8" si="0">(J3-K3)/K3</f>
        <v>0.55737526573072393</v>
      </c>
      <c r="J3" cm="1">
        <f t="array" ref="J3">(MEDIAN(_xlfn._xlws.FILTER(data!S3:S117,(data!L3:L117='Lvl Wise table'!A3))))</f>
        <v>6150012.6293599997</v>
      </c>
      <c r="K3" cm="1">
        <f t="array" ref="K3">MEDIAN(_xlfn._xlws.FILTER(data!V3:V117,data!L3:L117='Lvl Wise table'!A3))</f>
        <v>3948960</v>
      </c>
    </row>
    <row r="4" spans="1:21" ht="26" customHeight="1" x14ac:dyDescent="0.35">
      <c r="A4" t="str">
        <v>D2</v>
      </c>
      <c r="B4" cm="1">
        <f t="array" ref="B4">COUNTA(_xlfn._xlws.FILTER(data!L4:L5002,data!L4:L5002='Lvl Wise table'!A4))</f>
        <v>8</v>
      </c>
      <c r="C4" s="7">
        <f>COUNTIFS(data!L4:L118,'Lvl Wise table'!A4,data!AB4:AB118,'Lvl Wise table'!C1)/'Lvl Wise table'!B4</f>
        <v>0</v>
      </c>
      <c r="D4" s="7">
        <f>COUNTIFS(data!L4:L118,'Lvl Wise table'!A4,data!AB4:AB118,'Lvl Wise table'!D1)/'Lvl Wise table'!B4</f>
        <v>0.25</v>
      </c>
      <c r="E4" s="7">
        <f>COUNTIFS(data!L2:L118,'Lvl Wise table'!A4,data!AB2:AB118,'Lvl Wise table'!E1)/'Lvl Wise table'!B4</f>
        <v>0.5</v>
      </c>
      <c r="F4" s="7">
        <f>COUNTIFS(data!L4:L118,'Lvl Wise table'!A4,data!AB4:AB118,'Lvl Wise table'!F1)/'Lvl Wise table'!B4</f>
        <v>0</v>
      </c>
      <c r="H4" s="7">
        <f t="shared" si="0"/>
        <v>-3.0859217013416596E-2</v>
      </c>
      <c r="J4" cm="1">
        <f t="array" ref="J4">(MEDIAN(_xlfn._xlws.FILTER(data!S4:S118,(data!L4:L118='Lvl Wise table'!A4))))</f>
        <v>3550000</v>
      </c>
      <c r="K4" cm="1">
        <f t="array" ref="K4">MEDIAN(_xlfn._xlws.FILTER(data!V4:V118,data!L4:L118='Lvl Wise table'!A4))</f>
        <v>3663038.5</v>
      </c>
      <c r="N4" s="36" t="s">
        <v>24</v>
      </c>
      <c r="O4" s="38" t="s">
        <v>20</v>
      </c>
      <c r="P4" s="38" t="s">
        <v>162</v>
      </c>
      <c r="Q4" s="38" t="s">
        <v>163</v>
      </c>
      <c r="R4" s="38" t="s">
        <v>164</v>
      </c>
      <c r="S4" s="38" t="s">
        <v>165</v>
      </c>
      <c r="T4" s="38" t="s">
        <v>29</v>
      </c>
      <c r="U4" s="40" t="s">
        <v>30</v>
      </c>
    </row>
    <row r="5" spans="1:21" ht="15" thickBot="1" x14ac:dyDescent="0.4">
      <c r="A5" t="str">
        <v>D1</v>
      </c>
      <c r="B5" cm="1">
        <f t="array" ref="B5">COUNTA(_xlfn._xlws.FILTER(data!L5:L5003,data!L5:L5003='Lvl Wise table'!A5))</f>
        <v>16</v>
      </c>
      <c r="C5" s="7">
        <f>COUNTIFS(data!L5:L119,'Lvl Wise table'!A5,data!AB5:AB119,'Lvl Wise table'!C1)/'Lvl Wise table'!B5</f>
        <v>0.125</v>
      </c>
      <c r="D5" s="7">
        <f>COUNTIFS(data!L5:L119,'Lvl Wise table'!A5,data!AB5:AB119,'Lvl Wise table'!D1)/'Lvl Wise table'!B5</f>
        <v>0.1875</v>
      </c>
      <c r="E5" s="7">
        <f>COUNTIFS(data!L5:L119,'Lvl Wise table'!A5,data!AB5:AB119,'Lvl Wise table'!E1)/'Lvl Wise table'!B5</f>
        <v>0.6875</v>
      </c>
      <c r="F5" s="7">
        <f>COUNTIFS(data!L5:L119,'Lvl Wise table'!A5,data!AB5:AB119,'Lvl Wise table'!F1)/'Lvl Wise table'!B5</f>
        <v>0</v>
      </c>
      <c r="H5" s="7">
        <f t="shared" si="0"/>
        <v>6.9207949900311302E-2</v>
      </c>
      <c r="J5" cm="1">
        <f t="array" ref="J5">(MEDIAN(_xlfn._xlws.FILTER(data!S5:S119,(data!L5:L119='Lvl Wise table'!A5))))</f>
        <v>2647042.3984000003</v>
      </c>
      <c r="K5" cm="1">
        <f t="array" ref="K5">MEDIAN(_xlfn._xlws.FILTER(data!V5:V119,data!L5:L119='Lvl Wise table'!A5))</f>
        <v>2475704</v>
      </c>
      <c r="N5" s="37"/>
      <c r="O5" s="39"/>
      <c r="P5" s="39"/>
      <c r="Q5" s="39"/>
      <c r="R5" s="39"/>
      <c r="S5" s="39"/>
      <c r="T5" s="39"/>
      <c r="U5" s="41"/>
    </row>
    <row r="6" spans="1:21" ht="23" thickBot="1" x14ac:dyDescent="0.4">
      <c r="A6" t="str">
        <v>C2</v>
      </c>
      <c r="B6" cm="1">
        <f t="array" ref="B6">COUNTA(_xlfn._xlws.FILTER(data!L6:L5004,data!L6:L5004='Lvl Wise table'!A6))</f>
        <v>69</v>
      </c>
      <c r="C6" s="7">
        <f>COUNTIFS(data!L6:L120,'Lvl Wise table'!A6,data!AB6:AB120,'Lvl Wise table'!C1)/'Lvl Wise table'!B6</f>
        <v>2.8985507246376812E-2</v>
      </c>
      <c r="D6" s="7">
        <f>COUNTIFS(data!L6:L120,'Lvl Wise table'!A6,data!AB6:AB120,'Lvl Wise table'!D5)/'Lvl Wise table'!B6</f>
        <v>0</v>
      </c>
      <c r="E6" s="7">
        <f>COUNTIFS(data!L6:L120,'Lvl Wise table'!A6,data!AB6:AB120,'Lvl Wise table'!E1)/'Lvl Wise table'!B6</f>
        <v>7.2463768115942032E-2</v>
      </c>
      <c r="F6" s="7">
        <f>COUNTIFS(data!L6:L120,'Lvl Wise table'!A6,data!AB6:AB120,'Lvl Wise table'!F1)/'Lvl Wise table'!B6</f>
        <v>0.30434782608695654</v>
      </c>
      <c r="H6" s="7">
        <f t="shared" si="0"/>
        <v>0.19689084293726064</v>
      </c>
      <c r="J6" cm="1">
        <f t="array" ref="J6">(MEDIAN(_xlfn._xlws.FILTER(data!S6:S120,(data!L6:L120='Lvl Wise table'!A6))))</f>
        <v>675676</v>
      </c>
      <c r="K6" cm="1">
        <f t="array" ref="K6">MEDIAN(_xlfn._xlws.FILTER(data!V6:V120,data!L6:L120='Lvl Wise table'!A6))</f>
        <v>564526</v>
      </c>
      <c r="N6" s="8" t="s">
        <v>31</v>
      </c>
      <c r="O6" s="9">
        <f>B2</f>
        <v>1</v>
      </c>
      <c r="P6" s="10">
        <v>0</v>
      </c>
      <c r="Q6" s="10">
        <v>0</v>
      </c>
      <c r="R6" s="10">
        <v>0</v>
      </c>
      <c r="S6" s="11">
        <v>1</v>
      </c>
      <c r="T6" s="12"/>
      <c r="U6" s="13">
        <v>0.39</v>
      </c>
    </row>
    <row r="7" spans="1:21" ht="23" thickBot="1" x14ac:dyDescent="0.4">
      <c r="A7" t="str">
        <v>B2</v>
      </c>
      <c r="B7" cm="1">
        <f t="array" ref="B7">COUNTA(_xlfn._xlws.FILTER(data!L7:L5005,data!L7:L5005='Lvl Wise table'!A7))</f>
        <v>8</v>
      </c>
      <c r="C7" s="7">
        <f>COUNTIFS(data!L7:L121,'Lvl Wise table'!A7,data!AB7:AB121,'Lvl Wise table'!C1)/'Lvl Wise table'!B7</f>
        <v>0.375</v>
      </c>
      <c r="D7" s="7">
        <f>COUNTIFS(data!L7:L121,'Lvl Wise table'!A7,data!AB7:AB121,'Lvl Wise table'!D1)/'Lvl Wise table'!B7</f>
        <v>0.5</v>
      </c>
      <c r="E7" s="7">
        <f>COUNTIFS(data!L7:L121,'Lvl Wise table'!A7,data!AB7:AB121,'Lvl Wise table'!E1)/'Lvl Wise table'!B7</f>
        <v>0</v>
      </c>
      <c r="F7" s="7">
        <f>COUNTIFS(data!L7:L121,'Lvl Wise table'!A7,data!AB7:AB121,'Lvl Wise table'!F1)/'Lvl Wise table'!B7</f>
        <v>0.125</v>
      </c>
      <c r="H7" s="7">
        <f t="shared" si="0"/>
        <v>-9.4552391836953589E-2</v>
      </c>
      <c r="J7" cm="1">
        <f t="array" ref="J7">(MEDIAN(_xlfn._xlws.FILTER(data!S7:S121,(data!L7:L121='Lvl Wise table'!A7))))</f>
        <v>540314.99479999999</v>
      </c>
      <c r="K7" cm="1">
        <f t="array" ref="K7">MEDIAN(_xlfn._xlws.FILTER(data!V7:V121,data!L7:L121='Lvl Wise table'!A7))</f>
        <v>596738</v>
      </c>
      <c r="N7" s="8" t="s">
        <v>16</v>
      </c>
      <c r="O7" s="9">
        <f t="shared" ref="O7:O12" si="1">B3</f>
        <v>2</v>
      </c>
      <c r="P7" s="10">
        <v>0</v>
      </c>
      <c r="Q7" s="10">
        <v>0</v>
      </c>
      <c r="R7" s="10">
        <v>0</v>
      </c>
      <c r="S7" s="14">
        <v>1</v>
      </c>
      <c r="T7" s="12"/>
      <c r="U7" s="13">
        <v>0.56000000000000005</v>
      </c>
    </row>
    <row r="8" spans="1:21" ht="36.5" thickBot="1" x14ac:dyDescent="0.4">
      <c r="A8" t="str">
        <v>C3</v>
      </c>
      <c r="B8" cm="1">
        <f t="array" ref="B8">COUNTA(_xlfn._xlws.FILTER(data!L8:L5006,data!L8:L5006='Lvl Wise table'!A8))</f>
        <v>11</v>
      </c>
      <c r="C8" s="7">
        <f>COUNTIFS(data!L8:L122,'Lvl Wise table'!A8,data!AB8:AB122,'Lvl Wise table'!C1)/'Lvl Wise table'!B8</f>
        <v>0.54545454545454541</v>
      </c>
      <c r="D8" s="7">
        <f>COUNTIFS(data!L8:L122,'Lvl Wise table'!A8,data!AB8:AB122,'Lvl Wise table'!D1)/'Lvl Wise table'!B8</f>
        <v>0.36363636363636365</v>
      </c>
      <c r="E8" s="7">
        <f>COUNTIFS(data!L8:L122,'Lvl Wise table'!A8,data!AB8:AB122,'Lvl Wise table'!E1)/'Lvl Wise table'!B8</f>
        <v>9.0909090909090912E-2</v>
      </c>
      <c r="F8" s="7">
        <f>COUNTIFS(data!L8:L122,'Lvl Wise table'!A8,data!AB8:AB122,'Lvl Wise table'!F1)/'Lvl Wise table'!B8</f>
        <v>0</v>
      </c>
      <c r="H8" s="7">
        <f t="shared" si="0"/>
        <v>-0.42683185329204232</v>
      </c>
      <c r="J8" cm="1">
        <f t="array" ref="J8">(MEDIAN(_xlfn._xlws.FILTER(data!S8:S122,(data!L8:L122='Lvl Wise table'!A8))))</f>
        <v>1205439.6731999998</v>
      </c>
      <c r="K8" cm="1">
        <f t="array" ref="K8">MEDIAN(_xlfn._xlws.FILTER(data!V8:V122,data!L8:L122='Lvl Wise table'!A8))</f>
        <v>2103117</v>
      </c>
      <c r="N8" s="8" t="s">
        <v>14</v>
      </c>
      <c r="O8" s="9">
        <f t="shared" si="1"/>
        <v>8</v>
      </c>
      <c r="P8" s="10">
        <v>0</v>
      </c>
      <c r="Q8" s="15">
        <v>0.33</v>
      </c>
      <c r="R8" s="11">
        <v>0.67</v>
      </c>
      <c r="S8" s="10">
        <v>0</v>
      </c>
      <c r="T8" s="16" t="s">
        <v>32</v>
      </c>
      <c r="U8" s="13">
        <v>-0.03</v>
      </c>
    </row>
    <row r="9" spans="1:21" ht="36.5" thickBot="1" x14ac:dyDescent="0.4">
      <c r="A9">
        <v>0</v>
      </c>
      <c r="C9" s="7"/>
      <c r="D9" s="7"/>
      <c r="E9" s="7"/>
      <c r="F9" s="7"/>
      <c r="N9" s="8" t="s">
        <v>12</v>
      </c>
      <c r="O9" s="9">
        <f t="shared" si="1"/>
        <v>16</v>
      </c>
      <c r="P9" s="10">
        <v>0.13</v>
      </c>
      <c r="Q9" s="17">
        <v>0.19</v>
      </c>
      <c r="R9" s="14">
        <v>0.69</v>
      </c>
      <c r="S9" s="10">
        <v>0</v>
      </c>
      <c r="T9" s="16" t="s">
        <v>32</v>
      </c>
      <c r="U9" s="13">
        <v>7.0000000000000007E-2</v>
      </c>
    </row>
    <row r="10" spans="1:21" ht="36.5" thickBot="1" x14ac:dyDescent="0.4">
      <c r="N10" s="8" t="s">
        <v>15</v>
      </c>
      <c r="O10" s="9">
        <f t="shared" si="1"/>
        <v>69</v>
      </c>
      <c r="P10" s="11">
        <v>0.55000000000000004</v>
      </c>
      <c r="Q10" s="17">
        <v>0.36</v>
      </c>
      <c r="R10" s="10">
        <v>0.09</v>
      </c>
      <c r="S10" s="10">
        <v>0</v>
      </c>
      <c r="T10" s="18" t="s">
        <v>33</v>
      </c>
      <c r="U10" s="13">
        <v>-0.43</v>
      </c>
    </row>
    <row r="11" spans="1:21" ht="23" thickBot="1" x14ac:dyDescent="0.4">
      <c r="N11" s="8" t="s">
        <v>13</v>
      </c>
      <c r="O11" s="9">
        <f t="shared" si="1"/>
        <v>8</v>
      </c>
      <c r="P11" s="10">
        <v>0.04</v>
      </c>
      <c r="Q11" s="11">
        <v>0.49</v>
      </c>
      <c r="R11" s="10">
        <v>0.09</v>
      </c>
      <c r="S11" s="17">
        <v>0.38</v>
      </c>
      <c r="T11" s="12"/>
      <c r="U11" s="13">
        <v>0.2</v>
      </c>
    </row>
    <row r="12" spans="1:21" ht="36.5" thickBot="1" x14ac:dyDescent="0.4">
      <c r="N12" s="8" t="s">
        <v>17</v>
      </c>
      <c r="O12" s="9">
        <f t="shared" si="1"/>
        <v>11</v>
      </c>
      <c r="P12" s="17">
        <v>0.38</v>
      </c>
      <c r="Q12" s="11">
        <v>0.5</v>
      </c>
      <c r="R12" s="10">
        <v>0</v>
      </c>
      <c r="S12" s="10">
        <v>0.13</v>
      </c>
      <c r="T12" s="16" t="s">
        <v>32</v>
      </c>
      <c r="U12" s="13">
        <v>-0.09</v>
      </c>
    </row>
  </sheetData>
  <mergeCells count="8">
    <mergeCell ref="N4:N5"/>
    <mergeCell ref="O4:O5"/>
    <mergeCell ref="T4:T5"/>
    <mergeCell ref="U4:U5"/>
    <mergeCell ref="P4:P5"/>
    <mergeCell ref="Q4:Q5"/>
    <mergeCell ref="R4:R5"/>
    <mergeCell ref="S4:S5"/>
  </mergeCells>
  <pageMargins left="0.7" right="0.7" top="0.75" bottom="0.75" header="0.3" footer="0.3"/>
  <pageSetup orientation="portrait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67FA554C-68CD-4DA1-B4CD-4F8B0A9F0DB9}">
            <x14:iconSet iconSet="3Triangles">
              <x14:cfvo type="percent">
                <xm:f>0</xm:f>
              </x14:cfvo>
              <x14:cfvo type="percent" gte="0">
                <xm:f>0</xm:f>
              </x14:cfvo>
              <x14:cfvo type="percent" gte="0">
                <xm:f>10</xm:f>
              </x14:cfvo>
            </x14:iconSet>
          </x14:cfRule>
          <xm:sqref>G2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E462A-0604-4727-BD0C-719292A43CBE}">
  <sheetPr codeName="Sheet1"/>
  <dimension ref="A1:E7"/>
  <sheetViews>
    <sheetView workbookViewId="0">
      <selection activeCell="B1" sqref="B1"/>
    </sheetView>
  </sheetViews>
  <sheetFormatPr defaultRowHeight="14.5" x14ac:dyDescent="0.35"/>
  <cols>
    <col min="2" max="5" width="12.4531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 t="s">
        <v>5</v>
      </c>
      <c r="B2" s="2">
        <v>8497900</v>
      </c>
      <c r="C2" s="2">
        <v>4906669</v>
      </c>
      <c r="D2" s="2">
        <v>7574696</v>
      </c>
      <c r="E2" s="2">
        <v>8643971</v>
      </c>
    </row>
    <row r="3" spans="1:5" x14ac:dyDescent="0.35">
      <c r="A3" t="s">
        <v>6</v>
      </c>
      <c r="B3" s="2">
        <v>4596700</v>
      </c>
      <c r="C3" s="2">
        <v>3328167</v>
      </c>
      <c r="D3" s="2">
        <v>3738316</v>
      </c>
      <c r="E3" s="2">
        <v>5759637</v>
      </c>
    </row>
    <row r="4" spans="1:5" x14ac:dyDescent="0.35">
      <c r="A4" t="s">
        <v>7</v>
      </c>
      <c r="B4" s="2">
        <v>3050000</v>
      </c>
      <c r="C4" s="2">
        <v>1856417</v>
      </c>
      <c r="D4" s="2">
        <v>2619907</v>
      </c>
      <c r="E4" s="2">
        <v>3182436</v>
      </c>
    </row>
    <row r="5" spans="1:5" x14ac:dyDescent="0.35">
      <c r="A5" t="s">
        <v>8</v>
      </c>
      <c r="B5" s="2">
        <v>2035400</v>
      </c>
      <c r="C5" s="2">
        <v>1487656</v>
      </c>
      <c r="D5" s="2">
        <v>2002616</v>
      </c>
      <c r="E5" s="2">
        <v>2865055</v>
      </c>
    </row>
    <row r="6" spans="1:5" x14ac:dyDescent="0.35">
      <c r="A6" t="s">
        <v>9</v>
      </c>
      <c r="B6" s="2">
        <v>1032750</v>
      </c>
      <c r="C6" s="2">
        <v>1206320</v>
      </c>
      <c r="D6" s="2">
        <v>1513205</v>
      </c>
      <c r="E6" s="2">
        <v>2423461</v>
      </c>
    </row>
    <row r="7" spans="1:5" x14ac:dyDescent="0.35">
      <c r="A7" t="s">
        <v>10</v>
      </c>
      <c r="B7" s="2">
        <v>658500</v>
      </c>
      <c r="C7" s="2">
        <v>1039535</v>
      </c>
      <c r="D7" s="2">
        <v>1460205</v>
      </c>
      <c r="E7" s="2">
        <v>1904963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CFB93-DAA0-4A9F-8F31-5F43B9204A80}">
  <sheetPr codeName="Sheet2"/>
  <dimension ref="A1:G7"/>
  <sheetViews>
    <sheetView tabSelected="1" workbookViewId="0">
      <selection activeCell="B2" sqref="B2"/>
    </sheetView>
  </sheetViews>
  <sheetFormatPr defaultRowHeight="14.5" x14ac:dyDescent="0.35"/>
  <cols>
    <col min="2" max="2" width="12" customWidth="1"/>
    <col min="3" max="3" width="11.54296875" customWidth="1"/>
    <col min="4" max="4" width="10" customWidth="1"/>
    <col min="5" max="5" width="11.36328125" customWidth="1"/>
  </cols>
  <sheetData>
    <row r="1" spans="1:7" x14ac:dyDescent="0.35">
      <c r="A1" s="3" t="s">
        <v>0</v>
      </c>
      <c r="B1" s="3" t="s">
        <v>11</v>
      </c>
      <c r="C1" s="3" t="s">
        <v>2</v>
      </c>
      <c r="D1" s="3" t="s">
        <v>3</v>
      </c>
      <c r="E1" s="3" t="s">
        <v>4</v>
      </c>
      <c r="G1" s="2" t="s">
        <v>119</v>
      </c>
    </row>
    <row r="2" spans="1:7" x14ac:dyDescent="0.35">
      <c r="A2" s="4" t="s">
        <v>12</v>
      </c>
      <c r="B2" s="5" cm="1">
        <f t="array" ref="B2">MEDIAN(_xlfn._xlws.FILTER(data!S2:S116,(data!J2:J116='Supply Chain Planning '!G1)*(data!L2:L116='Supply Chain Planning '!A2)))</f>
        <v>1200000</v>
      </c>
      <c r="C2" s="2" cm="1">
        <f t="array" ref="C2">MEDIAN(_xlfn._xlws.FILTER(data!U2:U116,(data!J2:J116='Supply Chain Planning '!G1)*(data!L2:L116='Supply Chain Planning '!A2)))</f>
        <v>1785280</v>
      </c>
      <c r="D2" s="2" cm="1">
        <f t="array" ref="D2">MEDIAN(_xlfn._xlws.FILTER(data!V2:V116,(data!J2:J116='Supply Chain Planning '!G1)*(data!L2:L116='Supply Chain Planning '!A2)))</f>
        <v>2640848</v>
      </c>
      <c r="E2" s="2" cm="1">
        <f t="array" ref="E2">MEDIAN(_xlfn._xlws.FILTER(data!W2:W5000,(data!J2:J5000='Supply Chain Planning '!G1)*(data!L2:L5000='Supply Chain Planning '!A2)))</f>
        <v>3053579</v>
      </c>
    </row>
    <row r="3" spans="1:7" x14ac:dyDescent="0.35">
      <c r="A3" s="4" t="s">
        <v>13</v>
      </c>
      <c r="B3" s="2" cm="1">
        <f t="array" ref="B3">MEDIAN(_xlfn._xlws.FILTER(data!S2:S116,(data!J2:J116='Supply Chain Planning '!G1)*(data!L2:L116='Supply Chain Planning '!A3)))</f>
        <v>540539.98959999997</v>
      </c>
      <c r="C3" s="2" cm="1">
        <f t="array" ref="C3">MEDIAN(_xlfn._xlws.FILTER(data!U2:U116,(data!J2:J116='Supply Chain Planning '!G1)*(data!L2:L116='Supply Chain Planning '!A3)))</f>
        <v>385732</v>
      </c>
      <c r="D3" s="2" cm="1">
        <f t="array" ref="D3">MEDIAN(_xlfn._xlws.FILTER(data!V2:V116,(data!J2:J116='Supply Chain Planning '!G1)*(data!L2:L116='Supply Chain Planning '!A3)))</f>
        <v>564526</v>
      </c>
      <c r="E3" s="2" cm="1">
        <f t="array" ref="E3">MEDIAN(_xlfn._xlws.FILTER(data!W2:W116,(data!J2:J116='Supply Chain Planning '!G1)*(data!L2:L116='Supply Chain Planning '!A3)))</f>
        <v>729905</v>
      </c>
    </row>
    <row r="4" spans="1:7" x14ac:dyDescent="0.35">
      <c r="B4" s="2"/>
      <c r="C4" s="2"/>
      <c r="D4" s="2"/>
      <c r="E4" s="2"/>
    </row>
    <row r="5" spans="1:7" x14ac:dyDescent="0.35">
      <c r="B5" s="2"/>
    </row>
    <row r="7" spans="1:7" x14ac:dyDescent="0.35">
      <c r="B7" s="2"/>
      <c r="C7" s="2"/>
      <c r="D7" s="2"/>
      <c r="E7" s="2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0DD28-751C-4373-B7CF-B05E73378236}">
  <sheetPr codeName="Sheet3"/>
  <dimension ref="A1:O16"/>
  <sheetViews>
    <sheetView topLeftCell="A2" workbookViewId="0">
      <selection activeCell="G22" sqref="G22"/>
    </sheetView>
  </sheetViews>
  <sheetFormatPr defaultRowHeight="14.5" x14ac:dyDescent="0.35"/>
  <cols>
    <col min="2" max="5" width="8.90625" bestFit="1" customWidth="1"/>
  </cols>
  <sheetData>
    <row r="1" spans="1:15" x14ac:dyDescent="0.35">
      <c r="A1" t="s">
        <v>0</v>
      </c>
      <c r="B1" t="s">
        <v>11</v>
      </c>
      <c r="C1" t="s">
        <v>2</v>
      </c>
      <c r="D1" t="s">
        <v>3</v>
      </c>
      <c r="E1" t="s">
        <v>4</v>
      </c>
      <c r="G1" t="s">
        <v>82</v>
      </c>
    </row>
    <row r="2" spans="1:15" x14ac:dyDescent="0.35">
      <c r="A2" t="s">
        <v>14</v>
      </c>
      <c r="B2" s="1" cm="1">
        <f t="array" ref="B2">MEDIAN(_xlfn._xlws.FILTER(data!S2:S5000,(data!J2:J5000=G1)*(data!L2:L5000=A2)))</f>
        <v>4487520.88</v>
      </c>
      <c r="C2" s="1" cm="1">
        <f t="array" ref="C2">MEDIAN(_xlfn._xlws.FILTER(data!U2:U5000,(data!J2:J5000=G1)*(data!L2:L5000=A2)))</f>
        <v>3589142</v>
      </c>
      <c r="D2" s="1" cm="1">
        <f t="array" ref="D2">MEDIAN(_xlfn._xlws.FILTER(data!V2:V5000,(data!J2:J5000=G1)*(data!L2:L5000=A2)))</f>
        <v>4157942</v>
      </c>
      <c r="E2" s="1" cm="1">
        <f t="array" ref="E2">MEDIAN(_xlfn._xlws.FILTER(data!W2:W5000,(data!J2:J5000=G1)*(data!L2:L5000=A2)))</f>
        <v>5426693</v>
      </c>
    </row>
    <row r="3" spans="1:15" x14ac:dyDescent="0.35">
      <c r="A3" t="s">
        <v>12</v>
      </c>
      <c r="B3" s="1" cm="1">
        <f t="array" ref="B3">MEDIAN(_xlfn._xlws.FILTER(data!S3:S5001,(data!J3:J5001=G1)*(data!L3:L5001=A3)))</f>
        <v>2836800.2000000007</v>
      </c>
      <c r="C3" s="1" cm="1">
        <f t="array" ref="C3">MEDIAN(_xlfn._xlws.FILTER(data!U3:U5001,(data!J3:J5001=G1)*(data!L3:L5001=A3)))</f>
        <v>2332209</v>
      </c>
      <c r="D3" s="1" cm="1">
        <f t="array" ref="D3">MEDIAN(_xlfn._xlws.FILTER(data!V3:V5001,(data!J3:J5001=G1)*(data!L3:L5001=A3)))</f>
        <v>2475704</v>
      </c>
      <c r="E3" s="1" cm="1">
        <f t="array" ref="E3">MEDIAN(_xlfn._xlws.FILTER(data!W3:W5001,(data!J3:J5001=G1)*(data!L3:L5001=A3)))</f>
        <v>4165405</v>
      </c>
    </row>
    <row r="4" spans="1:15" x14ac:dyDescent="0.35">
      <c r="A4" t="s">
        <v>15</v>
      </c>
      <c r="B4" s="1" cm="1">
        <f t="array" ref="B4">MEDIAN(_xlfn._xlws.FILTER(data!S4:S5002,(data!J4:J5002=G1)*(data!L4:L5002=A4)))</f>
        <v>1324566.72</v>
      </c>
      <c r="C4" s="1" cm="1">
        <f t="array" ref="C4">MEDIAN(_xlfn._xlws.FILTER(data!U4:U5002,(data!J4:J5002=G1)*(data!L4:L5002=A4)))</f>
        <v>1389560</v>
      </c>
      <c r="D4" s="1" cm="1">
        <f t="array" ref="D4">MEDIAN(_xlfn._xlws.FILTER(data!V4:V5002,(data!J4:J5002=G1)*(data!L4:L5002=A4)))</f>
        <v>2103117</v>
      </c>
      <c r="E4" s="1" cm="1">
        <f t="array" ref="E4">MEDIAN(_xlfn._xlws.FILTER(data!W4:W5002,(data!J4:J5002=G1)*(data!L4:L5002=A4)))</f>
        <v>2437500</v>
      </c>
    </row>
    <row r="5" spans="1:15" x14ac:dyDescent="0.35">
      <c r="A5" t="s">
        <v>13</v>
      </c>
      <c r="B5" s="1" cm="1">
        <f t="array" ref="B5">MEDIAN(_xlfn._xlws.FILTER(data!S5:S5003,(data!J5:J5003=G1)*(data!L5:L5003=A5)))</f>
        <v>2068390.8311999999</v>
      </c>
      <c r="C5" s="1" cm="1">
        <f t="array" ref="C5">MEDIAN(_xlfn._xlws.FILTER(data!U5:U5003,(data!J5:J5003=G1)*(data!L5:L5003=A5)))</f>
        <v>985302</v>
      </c>
      <c r="D5" s="1" cm="1">
        <f t="array" ref="D5">MEDIAN(_xlfn._xlws.FILTER(data!V5:V5003,(data!J5:J5003=G1)*(data!L5:L5003=A5)))</f>
        <v>1310576</v>
      </c>
      <c r="E5" s="1" cm="1">
        <f t="array" ref="E5">MEDIAN(_xlfn._xlws.FILTER(data!W5:W5003,(data!J5:J5003=G1)*(data!L5:L5003=A5)))</f>
        <v>1605342</v>
      </c>
    </row>
    <row r="16" spans="1:15" x14ac:dyDescent="0.35">
      <c r="O16" t="s">
        <v>18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C09C0-0EB3-4EB8-8CE8-D6C4B6F304FA}">
  <sheetPr codeName="Sheet4"/>
  <dimension ref="A1:G6"/>
  <sheetViews>
    <sheetView workbookViewId="0">
      <selection activeCell="A5" sqref="A5"/>
    </sheetView>
  </sheetViews>
  <sheetFormatPr defaultRowHeight="14.5" x14ac:dyDescent="0.35"/>
  <cols>
    <col min="2" max="5" width="8.90625" bestFit="1" customWidth="1"/>
  </cols>
  <sheetData>
    <row r="1" spans="1:7" x14ac:dyDescent="0.35">
      <c r="A1" t="s">
        <v>0</v>
      </c>
      <c r="B1" t="s">
        <v>11</v>
      </c>
      <c r="C1" t="s">
        <v>2</v>
      </c>
      <c r="D1" t="s">
        <v>3</v>
      </c>
      <c r="E1" t="s">
        <v>4</v>
      </c>
      <c r="G1" t="s">
        <v>77</v>
      </c>
    </row>
    <row r="2" spans="1:7" x14ac:dyDescent="0.35">
      <c r="A2" t="s">
        <v>16</v>
      </c>
      <c r="B2" s="1" cm="1">
        <f t="array" ref="B2">IFERROR(MEDIAN(_xlfn._xlws.FILTER(data!S2:S5000,(data!J2:J5000=G1)*(data!L2:L5000=A2))),0)</f>
        <v>6150012.6293599997</v>
      </c>
      <c r="C2" s="1" cm="1">
        <f t="array" ref="C2">IFERROR(MEDIAN(_xlfn._xlws.FILTER(data!U2:U5000,(data!J2:J5000=G1)*(data!L2:L5000=A2))),0)</f>
        <v>3577374</v>
      </c>
      <c r="D2" s="1" cm="1">
        <f t="array" ref="D2">IFERROR(MEDIAN(_xlfn._xlws.FILTER(data!V2:V5000,(data!J2:J5000=G1)*(data!L2:L5000=A2))),0)</f>
        <v>3948960</v>
      </c>
      <c r="E2" s="1" cm="1">
        <f t="array" ref="E2">IFERROR(MEDIAN(_xlfn._xlws.FILTER(data!W2:W5000,(data!J2:J5000=G1)*(data!L2:L5000=A2))),0)</f>
        <v>5421659</v>
      </c>
    </row>
    <row r="3" spans="1:7" x14ac:dyDescent="0.35">
      <c r="A3" t="s">
        <v>14</v>
      </c>
      <c r="B3" s="1" cm="1">
        <f t="array" ref="B3">IFERROR(MEDIAN(_xlfn._xlws.FILTER(data!S3:S5001,(data!J3:J5001=G1)*(data!L3:L5001=A3))),0)</f>
        <v>3220339.3415999999</v>
      </c>
      <c r="C3" s="1" cm="1">
        <f t="array" ref="C3">IFERROR(MEDIAN(_xlfn._xlws.FILTER(data!U3:U5001,(data!J3:J5001=G1)*(data!L3:L5001=A3))),0)</f>
        <v>2805100</v>
      </c>
      <c r="D3" s="1" cm="1">
        <f t="array" ref="D3">IFERROR(MEDIAN(_xlfn._xlws.FILTER(data!V3:V5001,(data!J3:J5001=G1)*(data!L3:L5001=A3))),0)</f>
        <v>3168135</v>
      </c>
      <c r="E3" s="1" cm="1">
        <f t="array" ref="E3">IFERROR(MEDIAN(_xlfn._xlws.FILTER(data!W3:W5001,(data!J3:J5001=G1)*(data!L3:L5001=A3))),0)</f>
        <v>3973049</v>
      </c>
    </row>
    <row r="4" spans="1:7" x14ac:dyDescent="0.35">
      <c r="A4" t="s">
        <v>12</v>
      </c>
      <c r="B4" s="1" cm="1">
        <f t="array" ref="B4">IFERROR(MEDIAN(_xlfn._xlws.FILTER(data!S4:S5002,(data!J4:J5002=G1)*(data!L4:L5002=A4))),0)</f>
        <v>2522041.3984000003</v>
      </c>
      <c r="C4" s="1" cm="1">
        <f t="array" ref="C4">IFERROR(MEDIAN(_xlfn._xlws.FILTER(data!U4:U5002,(data!J4:J5002=G1)*(data!L4:L5002=A4))),0)</f>
        <v>1744082</v>
      </c>
      <c r="D4" s="1" cm="1">
        <f t="array" ref="D4">IFERROR(MEDIAN(_xlfn._xlws.FILTER(data!V4:V5002,(data!J4:J5002=G1)*(data!L4:L5002=A4))),0)</f>
        <v>2102305</v>
      </c>
      <c r="E4" s="1" cm="1">
        <f t="array" ref="E4">MEDIAN(_xlfn._xlws.FILTER(data!W4:W5002,(data!J4:J5002=G1)*(data!L4:L5002=A4)))</f>
        <v>3420111</v>
      </c>
    </row>
    <row r="5" spans="1:7" x14ac:dyDescent="0.35">
      <c r="A5" t="s">
        <v>15</v>
      </c>
      <c r="B5" s="1" cm="1">
        <f t="array" ref="B5">IFERROR(MEDIAN(_xlfn._xlws.FILTER(data!S5:S5003,(data!J5:J5003=G1)*(data!L5:L5003=A5))),0)</f>
        <v>1095125.2050000001</v>
      </c>
      <c r="C5" s="1" cm="1">
        <f t="array" ref="C5">IFERROR(MEDIAN(_xlfn._xlws.FILTER(data!U5:U5003,(data!J5:J5003=G1)*(data!L5:L5003=A5))),0)</f>
        <v>1027612</v>
      </c>
      <c r="D5" s="1" cm="1">
        <f t="array" ref="D5">IFERROR(MEDIAN(_xlfn._xlws.FILTER(data!V5:V5003,(data!J5:J5003=G1)*(data!L5:L5003=A5))),0)</f>
        <v>1129322</v>
      </c>
      <c r="E5" s="1" cm="1">
        <f t="array" ref="E5">MEDIAN(_xlfn._xlws.FILTER(data!W5:W5003,(data!J5:J5003=G1)*(data!L5:L5003=A5)))</f>
        <v>2191388</v>
      </c>
    </row>
    <row r="6" spans="1:7" x14ac:dyDescent="0.35">
      <c r="A6" t="s">
        <v>13</v>
      </c>
      <c r="B6" s="1" cm="1">
        <f t="array" ref="B6">IFERROR(MEDIAN(_xlfn._xlws.FILTER(data!S6:S5004,(data!J6:J5004=G1)*(data!L6:L5004=A6))),0)</f>
        <v>1754135.1725999999</v>
      </c>
      <c r="C6" s="1" cm="1">
        <f t="array" ref="C6">IFERROR(MEDIAN(_xlfn._xlws.FILTER(data!U6:U5004,(data!J6:J5004=G1)*(data!L6:L5004=A6))),0)</f>
        <v>0</v>
      </c>
      <c r="D6" s="1" cm="1">
        <f t="array" ref="D6">IFERROR(MEDIAN(_xlfn._xlws.FILTER(data!V6:V5004,(data!J6:J5004=G1)*(data!L6:L5004=A6))),0)</f>
        <v>776839</v>
      </c>
      <c r="E6" s="1" cm="1">
        <f t="array" ref="E6">IFERROR(MEDIAN(_xlfn._xlws.FILTER(data!W6:W5004,(data!J6:J5004=G1)*(data!L6:L5004=A6))),0)</f>
        <v>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A087A-A303-4E3E-9817-9D6E2FF6E749}">
  <sheetPr codeName="Sheet5"/>
  <dimension ref="A1:G3"/>
  <sheetViews>
    <sheetView workbookViewId="0">
      <selection activeCell="E3" sqref="E3"/>
    </sheetView>
  </sheetViews>
  <sheetFormatPr defaultRowHeight="14.5" x14ac:dyDescent="0.35"/>
  <cols>
    <col min="2" max="2" width="11.26953125" customWidth="1"/>
    <col min="3" max="3" width="13.6328125" customWidth="1"/>
    <col min="4" max="4" width="11.453125" customWidth="1"/>
    <col min="5" max="5" width="12.90625" customWidth="1"/>
  </cols>
  <sheetData>
    <row r="1" spans="1:7" x14ac:dyDescent="0.35">
      <c r="A1" s="3" t="s">
        <v>0</v>
      </c>
      <c r="B1" s="3" t="s">
        <v>11</v>
      </c>
      <c r="C1" s="3" t="s">
        <v>2</v>
      </c>
      <c r="D1" s="3" t="s">
        <v>3</v>
      </c>
      <c r="E1" s="3" t="s">
        <v>4</v>
      </c>
      <c r="G1" t="s">
        <v>146</v>
      </c>
    </row>
    <row r="2" spans="1:7" x14ac:dyDescent="0.35">
      <c r="A2" s="4" t="s">
        <v>15</v>
      </c>
      <c r="B2" s="1" cm="1">
        <f t="array" ref="B2">IFERROR(MEDIAN(_xlfn._xlws.FILTER(data!S2:S5000,(data!J2:J5000=G1)*(data!L2:L5000=A2))),0)</f>
        <v>1081079.9791999999</v>
      </c>
      <c r="C2" s="1" cm="1">
        <f t="array" ref="C2">IFERROR(MEDIAN(_xlfn._xlws.FILTER(data!U2:U5000,(data!J2:J5000=G1)*(data!L2:L5000=A2))),0)</f>
        <v>1086219</v>
      </c>
      <c r="D2" s="1" cm="1">
        <f t="array" ref="D2">IFERROR(MEDIAN(_xlfn._xlws.FILTER(data!V2:V5000,(data!J2:J5000=G1)*(data!L2:L5000=A2))),0)</f>
        <v>1197238</v>
      </c>
      <c r="E2" s="1" cm="1">
        <f t="array" ref="E2">IFERROR(MEDIAN(_xlfn._xlws.FILTER(data!W2:W5000,(data!J2:J5000=G1)*(data!L2:L5000=A2))),0)</f>
        <v>1549836</v>
      </c>
    </row>
    <row r="3" spans="1:7" x14ac:dyDescent="0.35">
      <c r="A3" s="4" t="s">
        <v>17</v>
      </c>
      <c r="B3" s="1" cm="1">
        <f t="array" ref="B3">IFERROR(MEDIAN(_xlfn._xlws.FILTER(data!S3:S5001,(data!J3:J5001=G1)*(data!L3:L5001=A3))),0)</f>
        <v>540090</v>
      </c>
      <c r="C3" s="1" cm="1">
        <f t="array" ref="C3">IFERROR(MEDIAN(_xlfn._xlws.FILTER(data!U3:U5001,(data!J3:J5001=G1)*(data!L3:L5001=A3))),0)</f>
        <v>507241</v>
      </c>
      <c r="D3" s="1" cm="1">
        <f t="array" ref="D3">IFERROR(MEDIAN(_xlfn._xlws.FILTER(data!V3:V5001,(data!J3:J5001=G1)*(data!L3:L5001=A3))),0)</f>
        <v>596738</v>
      </c>
      <c r="E3" s="1" cm="1">
        <f t="array" ref="E3">IFERROR(MEDIAN(_xlfn._xlws.FILTER(data!W3:W5001,(data!J3:J5001=G1)*(data!L3:L5001=A3))),0)</f>
        <v>693489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6844C-695B-47C1-A8A8-78158AC29852}">
  <sheetPr codeName="Sheet6"/>
  <dimension ref="A1:J4"/>
  <sheetViews>
    <sheetView workbookViewId="0">
      <selection activeCell="A12" sqref="A12"/>
    </sheetView>
  </sheetViews>
  <sheetFormatPr defaultRowHeight="14.5" x14ac:dyDescent="0.35"/>
  <sheetData>
    <row r="1" spans="1:10" x14ac:dyDescent="0.35">
      <c r="A1" t="s">
        <v>0</v>
      </c>
      <c r="B1" t="s">
        <v>19</v>
      </c>
      <c r="C1" t="s">
        <v>20</v>
      </c>
      <c r="H1" t="s">
        <v>0</v>
      </c>
      <c r="I1" t="s">
        <v>19</v>
      </c>
      <c r="J1" t="s">
        <v>20</v>
      </c>
    </row>
    <row r="2" spans="1:10" x14ac:dyDescent="0.35">
      <c r="A2" t="s">
        <v>21</v>
      </c>
      <c r="B2" s="7">
        <v>7.1204230453648598E-2</v>
      </c>
      <c r="C2" s="7">
        <v>0.24358683985071247</v>
      </c>
      <c r="H2" t="s">
        <v>21</v>
      </c>
      <c r="I2" s="6">
        <v>0.03</v>
      </c>
      <c r="J2" s="6">
        <v>7.0000000000000007E-2</v>
      </c>
    </row>
    <row r="3" spans="1:10" x14ac:dyDescent="0.35">
      <c r="A3" t="s">
        <v>22</v>
      </c>
      <c r="B3" s="7">
        <v>0.55104543667452854</v>
      </c>
      <c r="C3" s="7">
        <v>0.56729263705206356</v>
      </c>
      <c r="H3" t="s">
        <v>22</v>
      </c>
      <c r="I3" s="6">
        <v>0.66</v>
      </c>
      <c r="J3" s="6">
        <v>0.79</v>
      </c>
    </row>
    <row r="4" spans="1:10" x14ac:dyDescent="0.35">
      <c r="A4" t="s">
        <v>23</v>
      </c>
      <c r="B4" s="7">
        <v>0.37775033287199111</v>
      </c>
      <c r="C4" s="7">
        <v>0.18912052309722399</v>
      </c>
      <c r="H4" t="s">
        <v>23</v>
      </c>
      <c r="I4" s="6">
        <v>0.31</v>
      </c>
      <c r="J4" s="6">
        <v>0.14000000000000001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Home</vt:lpstr>
      <vt:lpstr>data</vt:lpstr>
      <vt:lpstr>Positing by Function</vt:lpstr>
      <vt:lpstr>Gender vs pay</vt:lpstr>
      <vt:lpstr>Internal Pay</vt:lpstr>
      <vt:lpstr>Lvl Wise table</vt:lpstr>
      <vt:lpstr>Specialization Wise analysis</vt:lpstr>
      <vt:lpstr>Supply Chain Planning </vt:lpstr>
      <vt:lpstr>Data Science - Data &amp; Analytics</vt:lpstr>
      <vt:lpstr>(BI) Data analysis</vt:lpstr>
      <vt:lpstr>Accounts Payable Receivable </vt:lpstr>
      <vt:lpstr>Workforce Distribution (22)</vt:lpstr>
    </vt:vector>
  </TitlesOfParts>
  <Company>MMC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T, Sethuraman</dc:creator>
  <cp:lastModifiedBy>T, Sethuraman</cp:lastModifiedBy>
  <dcterms:created xsi:type="dcterms:W3CDTF">2024-06-05T05:44:08Z</dcterms:created>
  <dcterms:modified xsi:type="dcterms:W3CDTF">2024-07-02T06:16:59Z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PR_PEERREVIEW">
    <vt:lpwstr>Peer Review Identifier</vt:lpwstr>
  </property>
  <property fmtid="{D5CDD505-2E9C-101B-9397-08002B2CF9AE}" pid="3" name="MSIP_Label_38f1469a-2c2a-4aee-b92b-090d4c5468ff_Enabled">
    <vt:lpwstr>true</vt:lpwstr>
  </property>
  <property fmtid="{D5CDD505-2E9C-101B-9397-08002B2CF9AE}" pid="4" name="MSIP_Label_38f1469a-2c2a-4aee-b92b-090d4c5468ff_SetDate">
    <vt:lpwstr>2024-06-05T05:44:21Z</vt:lpwstr>
  </property>
  <property fmtid="{D5CDD505-2E9C-101B-9397-08002B2CF9AE}" pid="5" name="MSIP_Label_38f1469a-2c2a-4aee-b92b-090d4c5468ff_Method">
    <vt:lpwstr>Standard</vt:lpwstr>
  </property>
  <property fmtid="{D5CDD505-2E9C-101B-9397-08002B2CF9AE}" pid="6" name="MSIP_Label_38f1469a-2c2a-4aee-b92b-090d4c5468ff_Name">
    <vt:lpwstr>Confidential - Unmarked</vt:lpwstr>
  </property>
  <property fmtid="{D5CDD505-2E9C-101B-9397-08002B2CF9AE}" pid="7" name="MSIP_Label_38f1469a-2c2a-4aee-b92b-090d4c5468ff_SiteId">
    <vt:lpwstr>2a6e6092-73e4-4752-b1a5-477a17f5056d</vt:lpwstr>
  </property>
  <property fmtid="{D5CDD505-2E9C-101B-9397-08002B2CF9AE}" pid="8" name="MSIP_Label_38f1469a-2c2a-4aee-b92b-090d4c5468ff_ActionId">
    <vt:lpwstr>39f26230-c10c-4a2f-93e3-3d7b750fb15b</vt:lpwstr>
  </property>
  <property fmtid="{D5CDD505-2E9C-101B-9397-08002B2CF9AE}" pid="9" name="MSIP_Label_38f1469a-2c2a-4aee-b92b-090d4c5468ff_ContentBits">
    <vt:lpwstr>0</vt:lpwstr>
  </property>
</Properties>
</file>